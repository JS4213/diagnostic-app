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nesHampel\Box\Operations\04_Service\02_Technical Service\01_GEN1\01_Failure_findings_and_descriptions\00_leading_documents\"/>
    </mc:Choice>
  </mc:AlternateContent>
  <xr:revisionPtr revIDLastSave="0" documentId="13_ncr:1_{E8C36E43-ABA4-4DB5-99D8-980DA4362A6A}" xr6:coauthVersionLast="47" xr6:coauthVersionMax="47" xr10:uidLastSave="{00000000-0000-0000-0000-000000000000}"/>
  <bookViews>
    <workbookView xWindow="-5190" yWindow="-21720" windowWidth="38640" windowHeight="21120" activeTab="1" xr2:uid="{D173B7A1-C8D8-4B6B-9D3C-C4CF299BEC64}"/>
  </bookViews>
  <sheets>
    <sheet name="Error Source_komplete" sheetId="2" r:id="rId1"/>
    <sheet name="Err Code" sheetId="1" r:id="rId2"/>
    <sheet name="Flags" sheetId="3" r:id="rId3"/>
  </sheets>
  <definedNames>
    <definedName name="_xlnm._FilterDatabase" localSheetId="1" hidden="1">'Err Code'!$A$2:$F$152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3" l="1"/>
  <c r="D10" i="3"/>
  <c r="D11" i="3"/>
  <c r="D12" i="3"/>
  <c r="D13" i="3"/>
  <c r="D14" i="3"/>
  <c r="D15" i="3"/>
  <c r="D16" i="3"/>
  <c r="D17" i="3"/>
  <c r="D18" i="3"/>
  <c r="D19" i="3"/>
  <c r="D5" i="3"/>
  <c r="D6" i="3"/>
  <c r="D7" i="3"/>
  <c r="D8" i="3"/>
  <c r="C6" i="3"/>
  <c r="F6" i="3" s="1"/>
  <c r="G6" i="3" s="1"/>
  <c r="C7" i="3"/>
  <c r="F7" i="3" s="1"/>
  <c r="G7" i="3" s="1"/>
  <c r="C8" i="3"/>
  <c r="F8" i="3" s="1"/>
  <c r="G8" i="3" s="1"/>
  <c r="C9" i="3"/>
  <c r="F9" i="3" s="1"/>
  <c r="G9" i="3" s="1"/>
  <c r="C10" i="3"/>
  <c r="F10" i="3" s="1"/>
  <c r="G10" i="3" s="1"/>
  <c r="C11" i="3"/>
  <c r="F11" i="3" s="1"/>
  <c r="G11" i="3" s="1"/>
  <c r="C12" i="3"/>
  <c r="F12" i="3" s="1"/>
  <c r="G12" i="3" s="1"/>
  <c r="C13" i="3"/>
  <c r="F13" i="3" s="1"/>
  <c r="G13" i="3" s="1"/>
  <c r="C14" i="3"/>
  <c r="F14" i="3" s="1"/>
  <c r="G14" i="3" s="1"/>
  <c r="C15" i="3"/>
  <c r="F15" i="3" s="1"/>
  <c r="G15" i="3" s="1"/>
  <c r="C16" i="3"/>
  <c r="F16" i="3" s="1"/>
  <c r="G16" i="3" s="1"/>
  <c r="C17" i="3"/>
  <c r="F17" i="3" s="1"/>
  <c r="G17" i="3" s="1"/>
  <c r="C18" i="3"/>
  <c r="F18" i="3" s="1"/>
  <c r="G18" i="3" s="1"/>
  <c r="C19" i="3"/>
  <c r="F19" i="3" s="1"/>
  <c r="G19" i="3" s="1"/>
  <c r="C5" i="3"/>
  <c r="F5" i="3" s="1"/>
  <c r="G5" i="3" s="1"/>
  <c r="H7" i="3" l="1"/>
  <c r="I7" i="3" s="1"/>
  <c r="H6" i="3"/>
  <c r="I6" i="3" s="1"/>
  <c r="H9" i="3"/>
  <c r="I9" i="3" s="1"/>
  <c r="J9" i="3" s="1"/>
  <c r="H15" i="3"/>
  <c r="I15" i="3" s="1"/>
  <c r="H8" i="3"/>
  <c r="I8" i="3" s="1"/>
  <c r="J8" i="3" s="1"/>
  <c r="H19" i="3"/>
  <c r="I19" i="3" s="1"/>
  <c r="J19" i="3" s="1"/>
  <c r="H18" i="3"/>
  <c r="I18" i="3" s="1"/>
  <c r="H17" i="3"/>
  <c r="H16" i="3"/>
  <c r="I16" i="3" s="1"/>
  <c r="H14" i="3"/>
  <c r="H13" i="3"/>
  <c r="H12" i="3"/>
  <c r="I12" i="3" s="1"/>
  <c r="H11" i="3"/>
  <c r="H10" i="3"/>
  <c r="H5" i="3"/>
  <c r="I5" i="3" s="1"/>
  <c r="J12" i="3" l="1"/>
  <c r="K12" i="3" s="1"/>
  <c r="L12" i="3" s="1"/>
  <c r="M12" i="3" s="1"/>
  <c r="K8" i="3"/>
  <c r="L8" i="3" s="1"/>
  <c r="J7" i="3"/>
  <c r="K7" i="3" s="1"/>
  <c r="J16" i="3"/>
  <c r="K16" i="3" s="1"/>
  <c r="L16" i="3" s="1"/>
  <c r="M16" i="3" s="1"/>
  <c r="J6" i="3"/>
  <c r="K6" i="3" s="1"/>
  <c r="L6" i="3" s="1"/>
  <c r="M6" i="3" s="1"/>
  <c r="I17" i="3"/>
  <c r="I11" i="3"/>
  <c r="J15" i="3"/>
  <c r="I10" i="3"/>
  <c r="I14" i="3"/>
  <c r="I13" i="3"/>
  <c r="J13" i="3" s="1"/>
  <c r="K9" i="3"/>
  <c r="L9" i="3" s="1"/>
  <c r="M9" i="3" s="1"/>
  <c r="J18" i="3"/>
  <c r="K19" i="3"/>
  <c r="L19" i="3" s="1"/>
  <c r="M19" i="3" s="1"/>
  <c r="J5" i="3"/>
  <c r="J11" i="3" l="1"/>
  <c r="M8" i="3"/>
  <c r="L7" i="3"/>
  <c r="M7" i="3" s="1"/>
  <c r="J10" i="3"/>
  <c r="K10" i="3" s="1"/>
  <c r="K13" i="3"/>
  <c r="L13" i="3" s="1"/>
  <c r="K18" i="3"/>
  <c r="J17" i="3"/>
  <c r="K15" i="3"/>
  <c r="L15" i="3" s="1"/>
  <c r="J14" i="3"/>
  <c r="K5" i="3"/>
  <c r="K11" i="3" l="1"/>
  <c r="M13" i="3"/>
  <c r="L10" i="3"/>
  <c r="M10" i="3" s="1"/>
  <c r="K17" i="3"/>
  <c r="K14" i="3"/>
  <c r="L18" i="3"/>
  <c r="M18" i="3" s="1"/>
  <c r="M15" i="3"/>
  <c r="L5" i="3"/>
  <c r="M5" i="3" s="1"/>
  <c r="L11" i="3" l="1"/>
  <c r="M11" i="3" s="1"/>
  <c r="L14" i="3"/>
  <c r="M14" i="3" s="1"/>
  <c r="L17" i="3"/>
  <c r="M17" i="3" s="1"/>
</calcChain>
</file>

<file path=xl/sharedStrings.xml><?xml version="1.0" encoding="utf-8"?>
<sst xmlns="http://schemas.openxmlformats.org/spreadsheetml/2006/main" count="513" uniqueCount="470">
  <si>
    <t>Description</t>
  </si>
  <si>
    <t>Battery module #1</t>
  </si>
  <si>
    <t>Battery module #2</t>
  </si>
  <si>
    <t>Battery module #3</t>
  </si>
  <si>
    <t>Battery module #4</t>
  </si>
  <si>
    <t>Battery module #5</t>
  </si>
  <si>
    <t>Battery module #6</t>
  </si>
  <si>
    <t>Battery module #7</t>
  </si>
  <si>
    <t>Battery module #8</t>
  </si>
  <si>
    <t>Battery module #9</t>
  </si>
  <si>
    <t>Battery module #10</t>
  </si>
  <si>
    <t>Battery module #11</t>
  </si>
  <si>
    <t>Battery module #12</t>
  </si>
  <si>
    <t>Battery module #13</t>
  </si>
  <si>
    <t>Battery module #14</t>
  </si>
  <si>
    <t>Battery module #15</t>
  </si>
  <si>
    <t>Battery module #16</t>
  </si>
  <si>
    <t>Battery module #17</t>
  </si>
  <si>
    <t>Battery module #18</t>
  </si>
  <si>
    <t>Battery module #19</t>
  </si>
  <si>
    <t>Battery module #20</t>
  </si>
  <si>
    <t>Battery module #21</t>
  </si>
  <si>
    <t>Battery module #22</t>
  </si>
  <si>
    <t>Battery module #23</t>
  </si>
  <si>
    <t>Battery module #24</t>
  </si>
  <si>
    <t>Auto Enumeration</t>
  </si>
  <si>
    <t>External data logger</t>
  </si>
  <si>
    <t>EOL / Tester</t>
  </si>
  <si>
    <t>HMI</t>
  </si>
  <si>
    <t>Supervisor</t>
  </si>
  <si>
    <t>Remote control</t>
  </si>
  <si>
    <t>Main System Controller</t>
  </si>
  <si>
    <t>Error Source Extended Entry</t>
  </si>
  <si>
    <t>Flash Saved Error Source Offset</t>
  </si>
  <si>
    <t>Code [HEX]</t>
  </si>
  <si>
    <t>Error Name</t>
  </si>
  <si>
    <t>NO ERROR</t>
  </si>
  <si>
    <t>No Error</t>
  </si>
  <si>
    <t>ERR_SW_I2C_COM</t>
  </si>
  <si>
    <t>I2C communication error</t>
  </si>
  <si>
    <t>ERR_SW_TEMP_CELL_DIV_ZERO</t>
  </si>
  <si>
    <t>Division by zero at the cell temperature function</t>
  </si>
  <si>
    <t>ERR_SW_ADC_CALIB_DIV_ZERO</t>
  </si>
  <si>
    <t>Division by zero at the ADC calibration function</t>
  </si>
  <si>
    <t>ERR_SW_I2C_CRC_READ</t>
  </si>
  <si>
    <t>I2C CRC error from BQ chip after 100 wrong messages</t>
  </si>
  <si>
    <t>ERR_SW_CAN_WATCHDOG</t>
  </si>
  <si>
    <t>CAN watch dog occurs if for certain of time no CAN message received</t>
  </si>
  <si>
    <t>ERR_BQ_INIT_TIMEOUT</t>
  </si>
  <si>
    <t>BQ INIT timeout, Deep discharge Cells could also lead to this Error</t>
  </si>
  <si>
    <t>ERR_CHRG_UNDERTEMP</t>
  </si>
  <si>
    <t>Charging at under temperature limit</t>
  </si>
  <si>
    <t>ERR_TEMP_CELL_MAX</t>
  </si>
  <si>
    <t>Cell temperature above maximum</t>
  </si>
  <si>
    <t>ERR_TEMP_CELL_MIN</t>
  </si>
  <si>
    <t>Cell temperature below minimum</t>
  </si>
  <si>
    <t>ERR_TEMP_BRD_MAX</t>
  </si>
  <si>
    <t>Board Temperature above maximum</t>
  </si>
  <si>
    <t>ERR_TEMP_BRD_MIN</t>
  </si>
  <si>
    <t>Board Temperature below minimum</t>
  </si>
  <si>
    <t>ERR_TEMP_BQ_MAX</t>
  </si>
  <si>
    <t>Internal temperature sensor of AFE is critically high</t>
  </si>
  <si>
    <t>ERR_TEMP_DIFF_ADC</t>
  </si>
  <si>
    <t>Large temperature difference among the sensors (ADC problem)</t>
  </si>
  <si>
    <t>ERR_VOL_CM_DIFF</t>
  </si>
  <si>
    <t>Voltage difference between sum of cells and Module voltage measurement is large</t>
  </si>
  <si>
    <t>ERR_VOL_PACK_MAX</t>
  </si>
  <si>
    <t>Pack voltage min error</t>
  </si>
  <si>
    <t>ERR_VOL_PACK_MIN</t>
  </si>
  <si>
    <t>Pack voltage max error</t>
  </si>
  <si>
    <t>ERR_VOL_CELL_MAX</t>
  </si>
  <si>
    <t>Cell voltage min error</t>
  </si>
  <si>
    <t>ERR_VOL_CELL_MIN</t>
  </si>
  <si>
    <t>Cell voltage max error</t>
  </si>
  <si>
    <t>ERR_VOL_PACK_RUN_MIN</t>
  </si>
  <si>
    <t>Pack voltage minimum during discharge</t>
  </si>
  <si>
    <t>ERR_VOL_CELL_RUN_MIN</t>
  </si>
  <si>
    <t>Cell voltage minimum during discharge</t>
  </si>
  <si>
    <t>ERR_HW_DRV_SCM_FAULT</t>
  </si>
  <si>
    <t>Alert from gate driver or AFE Chip</t>
  </si>
  <si>
    <t>ERR_HW_OPEN_CELL</t>
  </si>
  <si>
    <t>Open cell connection is detected in the modules</t>
  </si>
  <si>
    <t>ERR_HW_ADC_ERR</t>
  </si>
  <si>
    <t>ADC reference voltage shows a different value</t>
  </si>
  <si>
    <t>WRN_RUN_TMP_MIN</t>
  </si>
  <si>
    <t>Temperature is too low to discharge</t>
  </si>
  <si>
    <t>WRN_RUN_TMP_MAX</t>
  </si>
  <si>
    <t>Temperature is too high to discharge</t>
  </si>
  <si>
    <t>WRN_CHG_TMP_MIN</t>
  </si>
  <si>
    <t>Temperature is too low to charge</t>
  </si>
  <si>
    <t>WRN_CHG_TMP_MAX</t>
  </si>
  <si>
    <t>Temperature is too high to charge</t>
  </si>
  <si>
    <t>WRN_CHG_AMBIENT_TEMPERATURE</t>
  </si>
  <si>
    <t>Ambient temperature too high to charge</t>
  </si>
  <si>
    <t>Not used</t>
  </si>
  <si>
    <t>WRN_CHG_PCB_TMP_MIN</t>
  </si>
  <si>
    <t>PCB temperature is too low to charge</t>
  </si>
  <si>
    <t>WRN_CHG_PCB_TMP_MAX</t>
  </si>
  <si>
    <t>PCB temperature is too high to charge</t>
  </si>
  <si>
    <t>WRN_RUN_PCB_TMP_MAX</t>
  </si>
  <si>
    <t>PCB temperature is too high to discharge</t>
  </si>
  <si>
    <t>WRN_IND_TMP_MAX</t>
  </si>
  <si>
    <t>WRN_BUS_ALERT</t>
  </si>
  <si>
    <t>Bus alert is triggered</t>
  </si>
  <si>
    <t>6A</t>
  </si>
  <si>
    <t>WRN_BAT_OFF</t>
  </si>
  <si>
    <t>BAT OFF signal is low</t>
  </si>
  <si>
    <t>6B</t>
  </si>
  <si>
    <t>WRN_SW_MCAN_CYCLE</t>
  </si>
  <si>
    <t>Cycle time is too high</t>
  </si>
  <si>
    <t>6C</t>
  </si>
  <si>
    <t>WRN_HMI_MISSING_SIGNAL</t>
  </si>
  <si>
    <t>HMI did not send a signal after start-up</t>
  </si>
  <si>
    <t>6D</t>
  </si>
  <si>
    <t>WRN_HMI_CHRG_REQUEST</t>
  </si>
  <si>
    <t>HMI sends wrong charging request</t>
  </si>
  <si>
    <t>6E</t>
  </si>
  <si>
    <t>WRN_BAT_EMPTY</t>
  </si>
  <si>
    <t>Battery needs charging</t>
  </si>
  <si>
    <t>6F</t>
  </si>
  <si>
    <t>WRN_GRID_QUALITY_BAD</t>
  </si>
  <si>
    <t>Grid quality is too bad for charging</t>
  </si>
  <si>
    <t>WRN_RUN_OVERLOAD_FAST_OF</t>
  </si>
  <si>
    <t>Raised when overload gets triggered</t>
  </si>
  <si>
    <t>WRN_RUN_OVERLOAD_FAST</t>
  </si>
  <si>
    <t>WRN_RUN_OVERLOAD_SLOW_OF</t>
  </si>
  <si>
    <t>Raised when overload gets triggered Overflow</t>
  </si>
  <si>
    <t>WRN_RUN_OVERLOAD_SLOW</t>
  </si>
  <si>
    <t>WRN_HMI_COM_MISSING_1</t>
  </si>
  <si>
    <t>reply to read request for CRC missing</t>
  </si>
  <si>
    <t>WRN_HMI_COM_MISSING_2</t>
  </si>
  <si>
    <t>no reply to request for version check</t>
  </si>
  <si>
    <t>WRN_UPDATE_NEEDED</t>
  </si>
  <si>
    <t xml:space="preserve">Firmware update need. </t>
  </si>
  <si>
    <t>WRN_SUPERVISOR_TIMEOUT</t>
  </si>
  <si>
    <t>Supervisor doesn’t response to CAN messages</t>
  </si>
  <si>
    <t>WRN_FINALGOODEOL_CMPLT</t>
  </si>
  <si>
    <t>Final Good EOL is completed in this system</t>
  </si>
  <si>
    <t>WRN_SYSTEM_UPDATED</t>
  </si>
  <si>
    <t>System updated to a new version see extended frame for Version number</t>
  </si>
  <si>
    <t>7A</t>
  </si>
  <si>
    <t>ERR_MULTI_MOD_DISCHARGE</t>
  </si>
  <si>
    <t>Multiple modules have error during discharge</t>
  </si>
  <si>
    <t>ERR_MULTI_MOD_CHARGE</t>
  </si>
  <si>
    <t>Multiple modules have error during charge</t>
  </si>
  <si>
    <t>ERR_SW_MCAN_COM_1</t>
  </si>
  <si>
    <t>Some modules did not response</t>
  </si>
  <si>
    <t>ERR_MOD_1ST_DATA_MISSING</t>
  </si>
  <si>
    <t>Module module data is missing already</t>
  </si>
  <si>
    <t>ERR_STARTUP_SELFCHECK</t>
  </si>
  <si>
    <t>Hardware self-check failed during start-up</t>
  </si>
  <si>
    <t>ERR_STRUP_NO_VOLTAGE</t>
  </si>
  <si>
    <t>Some modules have no voltage</t>
  </si>
  <si>
    <t xml:space="preserve">ERR_STRUP_VOLTAGE_DIFF  </t>
  </si>
  <si>
    <t>Some modules have large voltage difference</t>
  </si>
  <si>
    <t>ERR_SW_MCAN_CYCLE</t>
  </si>
  <si>
    <t>ERR_STRUP_POLARTIY_ISSUE</t>
  </si>
  <si>
    <t>Module show a different polarity</t>
  </si>
  <si>
    <t>ERR_SW_NOT_DEFINED_CHANNEL</t>
  </si>
  <si>
    <t>PWM Channel does not exist</t>
  </si>
  <si>
    <t>8A</t>
  </si>
  <si>
    <t>ERR_SW_FUN_POINTER</t>
  </si>
  <si>
    <t>Function pointer does not exist</t>
  </si>
  <si>
    <t>8B</t>
  </si>
  <si>
    <t>ERR_SW_DIV_BY_ZERO</t>
  </si>
  <si>
    <t>Divide by zero error</t>
  </si>
  <si>
    <t>8C</t>
  </si>
  <si>
    <t>ERR_MODULE_ENUM_FAILED</t>
  </si>
  <si>
    <t>Update function failed</t>
  </si>
  <si>
    <t>8D</t>
  </si>
  <si>
    <t>ERR_SW_RUN_CODE_UNDEF</t>
  </si>
  <si>
    <t>Run code from Bootloader is undefined</t>
  </si>
  <si>
    <t>8E</t>
  </si>
  <si>
    <t>ERR_FLASH_EXE_ERROR</t>
  </si>
  <si>
    <t>Error during execution of Flash operation</t>
  </si>
  <si>
    <t>8F</t>
  </si>
  <si>
    <t>ERR_INVALID_TRANSITION</t>
  </si>
  <si>
    <t>Invalid transition in the sysctrl requested</t>
  </si>
  <si>
    <t>ERR_MULTI_MOD_STARTUP</t>
  </si>
  <si>
    <t>Multi Module have Error during Start-up</t>
  </si>
  <si>
    <t>ERR_CHRG_INPUT_EFUSE_TRIGGERED_OF</t>
  </si>
  <si>
    <t>Charge input Efuse triggered Overflow</t>
  </si>
  <si>
    <t>ERR_CHRG_INPUT_EFUSE_TRIGGERED</t>
  </si>
  <si>
    <t>Charge input Efuse triggered</t>
  </si>
  <si>
    <t>A0</t>
  </si>
  <si>
    <t>B4</t>
  </si>
  <si>
    <t>B5</t>
  </si>
  <si>
    <t>B6</t>
  </si>
  <si>
    <t>ERR_VOL_SET_IS_DIFF</t>
  </si>
  <si>
    <t>Difference between set voltage and measured voltage is too high</t>
  </si>
  <si>
    <t>B7</t>
  </si>
  <si>
    <t>ERR_VOL_COMP_MIN</t>
  </si>
  <si>
    <t>Compensated cell voltage is below minimum</t>
  </si>
  <si>
    <t>B8</t>
  </si>
  <si>
    <t>ERR_VOL_CELL_MIN_RUN</t>
  </si>
  <si>
    <t>Cell voltage is below minimum during discharge</t>
  </si>
  <si>
    <t>B9</t>
  </si>
  <si>
    <t>ERR_VOL_MODULE_MIN</t>
  </si>
  <si>
    <t>Module voltage is below Minimum in other states</t>
  </si>
  <si>
    <t>BA</t>
  </si>
  <si>
    <t>ERR_VOL_MODULE_RUN_MIN</t>
  </si>
  <si>
    <t>Module voltage is below Minimum during discharge</t>
  </si>
  <si>
    <t>BB</t>
  </si>
  <si>
    <t>ERR_VOL_MODULE_MAX</t>
  </si>
  <si>
    <t>Module Voltage is above Maximum</t>
  </si>
  <si>
    <t>BC</t>
  </si>
  <si>
    <t>ERR_VOL_MAX_IMBAL</t>
  </si>
  <si>
    <t>Difference between max and min of the cells is too high</t>
  </si>
  <si>
    <t>BD</t>
  </si>
  <si>
    <t>ERR_VOL_MAX_CELLCOMP</t>
  </si>
  <si>
    <t>Compensation is more than 1.1V could be module current error</t>
  </si>
  <si>
    <t>BE</t>
  </si>
  <si>
    <t>ERR_UNDER_TEMP_CHARGING</t>
  </si>
  <si>
    <t>System tried to charge below 0°C</t>
  </si>
  <si>
    <t>BF</t>
  </si>
  <si>
    <t>C1</t>
  </si>
  <si>
    <t>Alert From gate Driver or AFE Chip</t>
  </si>
  <si>
    <t>C2</t>
  </si>
  <si>
    <t>ERR_HW_RELAY_OPEN</t>
  </si>
  <si>
    <t>Error from relays while both should be open</t>
  </si>
  <si>
    <t>C3</t>
  </si>
  <si>
    <t>ERR_HW_RELAY_POWER</t>
  </si>
  <si>
    <t>Error from relays while power should be closed</t>
  </si>
  <si>
    <t>C4</t>
  </si>
  <si>
    <t>ERR_HW_RELAY_CHARGE</t>
  </si>
  <si>
    <t>Error from relays while charge should be closed</t>
  </si>
  <si>
    <t>C5</t>
  </si>
  <si>
    <t>ERR_HW_CHRG_REQUEST_FALSE</t>
  </si>
  <si>
    <t>Charging request from HMI received, but no voltage can be detected</t>
  </si>
  <si>
    <t>C6</t>
  </si>
  <si>
    <t>ERR_HW_OUTPUT_CURRENT_SENSE</t>
  </si>
  <si>
    <t>Problem with the output current sensor</t>
  </si>
  <si>
    <t>C7</t>
  </si>
  <si>
    <t>ERR_HW_INPUT_FUSE_BLOWN</t>
  </si>
  <si>
    <t>No charging current detected, but should be. Input Fuse blown</t>
  </si>
  <si>
    <t>C8</t>
  </si>
  <si>
    <t>ERR_HW_CHRG_REQUEST_MISSING</t>
  </si>
  <si>
    <t>C9</t>
  </si>
  <si>
    <t>ERR_HW_SUPERVISOR</t>
  </si>
  <si>
    <t>Error thrown from supervisor</t>
  </si>
  <si>
    <t>CA</t>
  </si>
  <si>
    <t>ERR_HW_VOLTAGE_SENSOR_SELFCHECK_FAILED</t>
  </si>
  <si>
    <t>Voltage sensor self-check failed</t>
  </si>
  <si>
    <t>CB</t>
  </si>
  <si>
    <t>ERR_HW_VOLTAGE_OUTPUT_MISSING</t>
  </si>
  <si>
    <t>Relay engaged but output voltage is missing</t>
  </si>
  <si>
    <t>CC</t>
  </si>
  <si>
    <t>ERR_HW_INPUT_VOLTAGE_DROPPED</t>
  </si>
  <si>
    <t>Transport switch could be engaged. Undervoltage in 5V SYS_IN</t>
  </si>
  <si>
    <t>D1</t>
  </si>
  <si>
    <t>ERR_HMI_DISCHARGE_MISSING</t>
  </si>
  <si>
    <t>Discharge signal missing during discharge</t>
  </si>
  <si>
    <t>D2</t>
  </si>
  <si>
    <t>ERR_HMI_DISCHARGE_SET</t>
  </si>
  <si>
    <t>Discharge signal set during charge</t>
  </si>
  <si>
    <t>D3</t>
  </si>
  <si>
    <t>ERR_HMI_ERROR_REQ</t>
  </si>
  <si>
    <t>Error request sent by HMI</t>
  </si>
  <si>
    <t>D4</t>
  </si>
  <si>
    <t>ERR_SIGNAL_RELAYS_BOTH_CLOSED</t>
  </si>
  <si>
    <t>Supervisor ERR_SIGNAL_RELAYS_BOTH_CLOSED</t>
  </si>
  <si>
    <t>D5</t>
  </si>
  <si>
    <t>ERR_SIGNAL_DISCHARGE_HIGH_AT_STARTUP</t>
  </si>
  <si>
    <t>Supervisor ERR_SIGNAL_DISCHARGE_HIGH_AT_STARTUP</t>
  </si>
  <si>
    <t>D6</t>
  </si>
  <si>
    <t>ERR_INTERNAL</t>
  </si>
  <si>
    <t>Supervisor ERR_INTERNAL</t>
  </si>
  <si>
    <t>E0</t>
  </si>
  <si>
    <t>E1</t>
  </si>
  <si>
    <t>ERR_TRANSPORT_SW</t>
  </si>
  <si>
    <t>Transport Switch Disengaged</t>
  </si>
  <si>
    <t>E2</t>
  </si>
  <si>
    <t>E3</t>
  </si>
  <si>
    <t>ERR_SYS_TIMEOUT</t>
  </si>
  <si>
    <t>System controller did not respond in the defined time</t>
  </si>
  <si>
    <t>E4</t>
  </si>
  <si>
    <t>ERR_TRANS_UNDEF</t>
  </si>
  <si>
    <t>HMI goes to undefined state</t>
  </si>
  <si>
    <t>E5</t>
  </si>
  <si>
    <t>ERR_LOW_AUX_BAT_V</t>
  </si>
  <si>
    <t>Support Battery Voltage is too Low</t>
  </si>
  <si>
    <t>E6</t>
  </si>
  <si>
    <t>ERR_ADC_DMA_START</t>
  </si>
  <si>
    <t>ADC DMA Start Error</t>
  </si>
  <si>
    <t>E7</t>
  </si>
  <si>
    <t>ERR_ADC_CALIBRATION</t>
  </si>
  <si>
    <t>ADC Calibration Error</t>
  </si>
  <si>
    <t>E8</t>
  </si>
  <si>
    <t>ERR_ADC_HAL_START</t>
  </si>
  <si>
    <t>ADC HAL Start Error</t>
  </si>
  <si>
    <t>E9</t>
  </si>
  <si>
    <t>ERR_SYS_TIMEOUT_BUTTONV_STATE</t>
  </si>
  <si>
    <t>SysCtrl timeout in button verify state</t>
  </si>
  <si>
    <t>EA</t>
  </si>
  <si>
    <t>ERR_RTC_GET_TIME</t>
  </si>
  <si>
    <t>HAL error during get_time function</t>
  </si>
  <si>
    <t>EB</t>
  </si>
  <si>
    <t>ERR_RTC_GET_DATE</t>
  </si>
  <si>
    <t>HAL error during get_date function</t>
  </si>
  <si>
    <t>EC</t>
  </si>
  <si>
    <t>ERR_RTC_SET_TIME</t>
  </si>
  <si>
    <t>HAL error during set_time function</t>
  </si>
  <si>
    <t>ED</t>
  </si>
  <si>
    <t>ERR_RTC_SET_DATE</t>
  </si>
  <si>
    <t>HAL error during set_date function</t>
  </si>
  <si>
    <t>EE</t>
  </si>
  <si>
    <t>ERR_RTC_INIT</t>
  </si>
  <si>
    <r>
      <t xml:space="preserve">HAL error during RTC </t>
    </r>
    <r>
      <rPr>
        <u/>
        <sz val="10"/>
        <color rgb="FF000000"/>
        <rFont val="Arial"/>
        <family val="2"/>
      </rPr>
      <t>init</t>
    </r>
  </si>
  <si>
    <t>EF</t>
  </si>
  <si>
    <t>ERR_5V_HMI_MISSING</t>
  </si>
  <si>
    <t>5V HMI missing</t>
  </si>
  <si>
    <t>F0</t>
  </si>
  <si>
    <t>ERR_VOLTAGE_ABSOLUTE_OUTPUT_TOO_HIGH</t>
  </si>
  <si>
    <t>From supervisor see name</t>
  </si>
  <si>
    <t>F1</t>
  </si>
  <si>
    <t>ERR_VOLTAGE_RMS_OUTPUT_TOO_HIGH</t>
  </si>
  <si>
    <t>F2</t>
  </si>
  <si>
    <t>ERR_VOLTAGE_ABOVE_150V_TOO_LONG</t>
  </si>
  <si>
    <t>F3</t>
  </si>
  <si>
    <t>ERR_VOLTAGE_DC_OUTPUT_TOO_HIGH</t>
  </si>
  <si>
    <t>F4</t>
  </si>
  <si>
    <t>ERR_VOLTAGE_OUTPUT_MISSING</t>
  </si>
  <si>
    <t>F5</t>
  </si>
  <si>
    <t>ERR_VOLTAGE_OUTPUT_RELAY_OPENED</t>
  </si>
  <si>
    <t>F6</t>
  </si>
  <si>
    <t>ERR_VOLTAGE_FREQUENCY_OUTPUT_TOO_HIGH</t>
  </si>
  <si>
    <t>F7</t>
  </si>
  <si>
    <t>ERR_VOLTAGE_FREQUENCY_OUTPUT_TOO_LOW</t>
  </si>
  <si>
    <t>F8</t>
  </si>
  <si>
    <t>ERR_VOLTAGE_MISSING_AFTER_DISCHARGE</t>
  </si>
  <si>
    <t>F9</t>
  </si>
  <si>
    <t>ERR_VOLTAGE_THRESHOLD_VIOLATION</t>
  </si>
  <si>
    <t>FA</t>
  </si>
  <si>
    <t>ERR_CURRENT_EFUSE_FIRST_TRIGGER</t>
  </si>
  <si>
    <t>FB</t>
  </si>
  <si>
    <t>ERR_CURRENT_EFUSE_SECOND_TRIGGER</t>
  </si>
  <si>
    <t>FC</t>
  </si>
  <si>
    <t>ERR_CURRENT_EFUSE_THIRD_TRIGGER</t>
  </si>
  <si>
    <t>FD</t>
  </si>
  <si>
    <t>ERR_CURRENT_EFUSE_FOURTH_TRIGGER</t>
  </si>
  <si>
    <t>FE</t>
  </si>
  <si>
    <t>ERR_SIGNAL_BAT_OFF_DETECTED</t>
  </si>
  <si>
    <t>FF</t>
  </si>
  <si>
    <t>ERR_UNDEFINED</t>
  </si>
  <si>
    <t>Undefined Error</t>
  </si>
  <si>
    <t>Last activity was discharge</t>
  </si>
  <si>
    <t>Last activity was charge</t>
  </si>
  <si>
    <t>Supervisor triggered</t>
  </si>
  <si>
    <t>EEPROM write error in last cycle</t>
  </si>
  <si>
    <t>Shutdown to Temperature Warnings</t>
  </si>
  <si>
    <t>System update request</t>
  </si>
  <si>
    <t>Shutdown due to Battery Full</t>
  </si>
  <si>
    <t>Shutdown due to Battery Empty</t>
  </si>
  <si>
    <t xml:space="preserve">Name </t>
  </si>
  <si>
    <t xml:space="preserve">FLG_DISCH_ACT </t>
  </si>
  <si>
    <t xml:space="preserve">FLG_CHARGE_ACT </t>
  </si>
  <si>
    <t xml:space="preserve">FLG_SUPERVISOR_TRIG </t>
  </si>
  <si>
    <t xml:space="preserve">FLG_ERROR_EPRM </t>
  </si>
  <si>
    <t xml:space="preserve">FLG_TEMP_SHTDWN </t>
  </si>
  <si>
    <t xml:space="preserve">FLG_SYSTEM_UPDT_REQ </t>
  </si>
  <si>
    <t xml:space="preserve">FLG_BAT_FULL </t>
  </si>
  <si>
    <t xml:space="preserve">FLG_BAT_EMT </t>
  </si>
  <si>
    <t xml:space="preserve">Bit # </t>
  </si>
  <si>
    <t>ERR_SW_ERASE_PAGE_TIMEOUT</t>
  </si>
  <si>
    <t>ERR_SW_FLASE_MODULE_NO</t>
  </si>
  <si>
    <t>ERR_EEPROM_READ_TIMEOUT</t>
  </si>
  <si>
    <t>ERR_MAX_TEMP_DEVIATION</t>
  </si>
  <si>
    <t>Large deviation from the average system cell/Brd temperatures</t>
  </si>
  <si>
    <t>tsnt</t>
  </si>
  <si>
    <t>badsol_Tcell</t>
  </si>
  <si>
    <t>Error Source hex</t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</si>
  <si>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</si>
  <si>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</si>
  <si>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</si>
  <si>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</si>
  <si>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</si>
  <si>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</si>
  <si>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</si>
  <si>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</si>
  <si>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</si>
  <si>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</si>
  <si>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</si>
  <si>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</si>
  <si>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</si>
  <si>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</si>
  <si>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0x0E</t>
  </si>
  <si>
    <t>0x0F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</si>
  <si>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</si>
  <si>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</si>
  <si>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</si>
  <si>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</si>
  <si>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</si>
  <si>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</si>
  <si>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</si>
  <si>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</si>
  <si>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</si>
  <si>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</si>
  <si>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</si>
  <si>
    <t>0x1B</t>
  </si>
  <si>
    <t>0x1C</t>
  </si>
  <si>
    <t>0x1D</t>
  </si>
  <si>
    <t>0x1E</t>
  </si>
  <si>
    <t>0x1F</t>
  </si>
  <si>
    <t>0x20</t>
  </si>
  <si>
    <t>0x32</t>
  </si>
  <si>
    <t>BPS Description</t>
  </si>
  <si>
    <t>-</t>
  </si>
  <si>
    <t>hex</t>
  </si>
  <si>
    <t>Dec</t>
  </si>
  <si>
    <t xml:space="preserve"> Binär</t>
  </si>
  <si>
    <t>Flag</t>
  </si>
  <si>
    <t>WRN_MODULE_RECOVERED</t>
  </si>
  <si>
    <t>Happens only when deep discharged modules are being charged and recovered</t>
  </si>
  <si>
    <t>ERR_VOL_CELL_MIN_NO_RECOVERY</t>
  </si>
  <si>
    <t>It is thrown when the cell voltage is already below 2V and no recovery possible with special test SW.</t>
  </si>
  <si>
    <t>ERR_MODULE_IS_NOT_RECOVERABLE</t>
  </si>
  <si>
    <t>It is thrown when the deep discharged module is charged for 30 min and it can not reach to certain voltage level. Then we assume that this module is already dead.</t>
  </si>
  <si>
    <t>CAN Bus Version 2.4.1</t>
  </si>
  <si>
    <t>snake_mount
badsol_J1</t>
  </si>
  <si>
    <t>notes: PU Ctrl shows two vice versa walking LEDS (only after PU Ctrl was replaced.</t>
  </si>
  <si>
    <t>Error Code 0x01 …0x5F are Module errors</t>
  </si>
  <si>
    <t>badplug
hbridge
tsnt
gridmu</t>
  </si>
  <si>
    <t xml:space="preserve">notes:generell startup error. Need Error Code out of extentend entry for analysis </t>
  </si>
  <si>
    <t>valid</t>
  </si>
  <si>
    <t>Notes</t>
  </si>
  <si>
    <t>opce
cellcon_bent</t>
  </si>
  <si>
    <t>Operation: Temperatur can be too high because of high load/environment</t>
  </si>
  <si>
    <t>possible labels</t>
  </si>
  <si>
    <t xml:space="preserve">tsnt
badsol_Tcell </t>
  </si>
  <si>
    <t>hbridge</t>
  </si>
  <si>
    <t>Valid: by measuring via Diode test DMM</t>
  </si>
  <si>
    <t>single event: Module have to be replaced
cellcon_bend valid by open Module (second level)</t>
  </si>
  <si>
    <t>Operation: Device could be discharged</t>
  </si>
  <si>
    <t>Operation: Temperature could be too low because of environment</t>
  </si>
  <si>
    <t>Operation: Temperatur could be too low because of environment</t>
  </si>
  <si>
    <t>Operation: Temperatur could be too high because of high load/environment</t>
  </si>
  <si>
    <t>sporadic bus alert could be triggered by temperature</t>
  </si>
  <si>
    <t>sporadic failure could be triggered by temperature</t>
  </si>
  <si>
    <t>fusecap
badsol_fuse
chrgpth
rectbrok (BPS)
mosfet (FST)</t>
  </si>
  <si>
    <t>E-Fuse warning</t>
  </si>
  <si>
    <t>noenum
esb</t>
  </si>
  <si>
    <t>repetetive Update needed -&gt; enumeration failed</t>
  </si>
  <si>
    <t>badsol_fuse
chrgpth
rectbrok (BPS)
mosfet (FST)</t>
  </si>
  <si>
    <t>modim
cell_imb</t>
  </si>
  <si>
    <t>Could also old SW (below 1.0.5.0) and strong load fire back</t>
  </si>
  <si>
    <t>single event: Module have to be exchanged</t>
  </si>
  <si>
    <t>moddd
moddd2V
modim
cell_imb
opce</t>
  </si>
  <si>
    <t>tsnt
badsol_Tcell
hbridge</t>
  </si>
  <si>
    <t>not used</t>
  </si>
  <si>
    <t>chrgpth
rectbrok (BPS)
mosfet (FST)</t>
  </si>
  <si>
    <t>hw_sv
svmis</t>
  </si>
  <si>
    <t>badplug
hbridge
tsnt</t>
  </si>
  <si>
    <t>Vintage error code SW &lt; 1.0.6. successor 0x84</t>
  </si>
  <si>
    <t>esb</t>
  </si>
  <si>
    <t>A single event could be "strong load fire back"</t>
  </si>
  <si>
    <t>Could also old SW or fast/hectic switching</t>
  </si>
  <si>
    <t>Can appear during update process (new SW, old SV)
Could also old SW (below 1.0.5.0)  Transort mode -&gt; charging cable -&gt; discharge</t>
  </si>
  <si>
    <t>Can be related to esb</t>
  </si>
  <si>
    <t>tsnt
gridmu
voltdiff
hbridge</t>
  </si>
  <si>
    <t>Can also be an CAN Issue or an hbridge</t>
  </si>
  <si>
    <t>CAN Issue or maybe hbridge</t>
  </si>
  <si>
    <t>badsol_J1
hbridge</t>
  </si>
  <si>
    <t>Can be related to an loosen Grid Cable</t>
  </si>
  <si>
    <t>badweld_cellcon</t>
  </si>
  <si>
    <t>badsolder</t>
  </si>
  <si>
    <t>29.08.2024, Johannes Hampel, V1.11</t>
  </si>
  <si>
    <t>Please do only edit in yellow area</t>
  </si>
  <si>
    <t>Bad Powergrid for charging, maybe an DC/AC is used. Also seen by tsnt addidional to T_PCB issue</t>
  </si>
  <si>
    <t>noenum
noenum_enh
badsol_J1
snake_mount
hbridge
badweld_cellcon</t>
  </si>
  <si>
    <t>can be related to esb or strong mechanical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</si>
</sst>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0&quot;h&quot;"/>
  </numFmts>
  <fonts count="21">
    <font>
      <sz val="11"/>
      <color theme="1"/>
      <name val="Calibri"/>
      <family val="2"/>
      <scheme val="minor"/>
    </font>
    <font>
      <sz val="10"/>
      <color rgb="FF595959"/>
      <name val="Lato"/>
      <family val="2"/>
    </font>
    <font>
      <b/>
      <sz val="10"/>
      <color rgb="FF000000"/>
      <name val="Lato"/>
      <family val="2"/>
    </font>
    <font>
      <b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595959"/>
      <name val="Arial"/>
      <family val="2"/>
    </font>
    <font>
      <u/>
      <sz val="10"/>
      <color rgb="FF00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rgb="FF595959"/>
      <name val="Lato"/>
      <family val="2"/>
    </font>
    <font>
      <b/>
      <sz val="18"/>
      <color theme="1"/>
      <name val="Calibri"/>
      <family val="2"/>
      <scheme val="minor"/>
    </font>
    <font>
      <sz val="8"/>
      <color theme="6" tint="-0.249977111117893"/>
      <name val="Calibri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5" fillId="0" borderId="0" xfId="0" applyFont="1"/>
    <xf numFmtId="14" fontId="7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7" fillId="3" borderId="7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6" xfId="0" applyFill="1" applyBorder="1" applyAlignment="1">
      <alignment horizontal="center"/>
    </xf>
    <xf numFmtId="0" fontId="14" fillId="8" borderId="16" xfId="0" applyFont="1" applyFill="1" applyBorder="1" applyAlignment="1">
      <alignment horizontal="center"/>
    </xf>
    <xf numFmtId="0" fontId="14" fillId="8" borderId="16" xfId="0" applyFont="1" applyFill="1" applyBorder="1" applyAlignment="1">
      <alignment horizontal="center" vertical="center"/>
    </xf>
    <xf numFmtId="0" fontId="0" fillId="8" borderId="16" xfId="0" applyFill="1" applyBorder="1"/>
    <xf numFmtId="0" fontId="1" fillId="8" borderId="16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/>
    </xf>
    <xf numFmtId="0" fontId="0" fillId="8" borderId="0" xfId="0" applyFill="1"/>
    <xf numFmtId="0" fontId="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wrapText="1"/>
    </xf>
    <xf numFmtId="0" fontId="0" fillId="8" borderId="0" xfId="0" applyFill="1" applyAlignment="1">
      <alignment horizontal="center" vertical="center"/>
    </xf>
    <xf numFmtId="0" fontId="12" fillId="8" borderId="18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2" fillId="8" borderId="20" xfId="0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0" xfId="0" applyFill="1" applyBorder="1"/>
    <xf numFmtId="0" fontId="5" fillId="9" borderId="0" xfId="0" applyFont="1" applyFill="1"/>
    <xf numFmtId="0" fontId="4" fillId="2" borderId="6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5" fillId="9" borderId="0" xfId="0" applyFont="1" applyFill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9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/>
    </xf>
    <xf numFmtId="0" fontId="15" fillId="9" borderId="0" xfId="0" applyFont="1" applyFill="1" applyAlignment="1">
      <alignment horizontal="left"/>
    </xf>
    <xf numFmtId="0" fontId="4" fillId="2" borderId="6" xfId="0" applyFont="1" applyFill="1" applyBorder="1" applyAlignment="1">
      <alignment horizontal="left" vertical="center" wrapText="1"/>
    </xf>
    <xf numFmtId="14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wrapText="1"/>
    </xf>
    <xf numFmtId="0" fontId="13" fillId="8" borderId="13" xfId="0" applyFont="1" applyFill="1" applyBorder="1" applyAlignment="1">
      <alignment horizontal="center" wrapText="1"/>
    </xf>
    <xf numFmtId="0" fontId="13" fillId="8" borderId="5" xfId="0" applyFont="1" applyFill="1" applyBorder="1" applyAlignment="1">
      <alignment horizont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 vertical="center" textRotation="45" wrapText="1"/>
    </xf>
    <xf numFmtId="0" fontId="19" fillId="8" borderId="20" xfId="0" applyFont="1" applyFill="1" applyBorder="1" applyAlignment="1">
      <alignment horizontal="center" vertical="center" textRotation="45" wrapText="1"/>
    </xf>
    <xf numFmtId="0" fontId="19" fillId="8" borderId="0" xfId="0" applyFont="1" applyFill="1" applyBorder="1" applyAlignment="1">
      <alignment horizontal="center" vertical="center" textRotation="45" wrapText="1"/>
    </xf>
    <xf numFmtId="0" fontId="0" fillId="8" borderId="0" xfId="0" applyFont="1" applyFill="1" applyAlignment="1">
      <alignment textRotation="45"/>
    </xf>
    <xf numFmtId="0" fontId="17" fillId="8" borderId="0" xfId="0" applyFont="1" applyFill="1" applyAlignment="1">
      <alignment horizontal="center" vertical="center" textRotation="45"/>
    </xf>
    <xf numFmtId="0" fontId="1" fillId="0" borderId="21" xfId="0" quotePrefix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left" vertical="center" wrapText="1"/>
    </xf>
    <xf numFmtId="0" fontId="20" fillId="3" borderId="7" xfId="0" applyFont="1" applyFill="1" applyBorder="1" applyAlignment="1">
      <alignment vertical="center" wrapText="1"/>
    </xf>
    <xf numFmtId="0" fontId="20" fillId="8" borderId="7" xfId="0" applyFont="1" applyFill="1" applyBorder="1" applyAlignment="1">
      <alignment horizontal="left" vertical="center" wrapText="1"/>
    </xf>
    <xf numFmtId="0" fontId="20" fillId="8" borderId="7" xfId="0" applyFont="1" applyFill="1" applyBorder="1" applyAlignment="1">
      <alignment vertical="center" wrapText="1"/>
    </xf>
    <xf numFmtId="0" fontId="16" fillId="9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587F-8DB0-43A8-9218-C1ED4BCFD7AB}">
  <dimension ref="A1:D37"/>
  <sheetViews>
    <sheetView workbookViewId="0">
      <selection activeCell="B33" sqref="B33"/>
    </sheetView>
  </sheetViews>
  <sheetFormatPr baseColWidth="10" defaultColWidth="11.42578125" defaultRowHeight="15"/>
  <cols>
    <col min="1" max="1" width="17" customWidth="1"/>
    <col min="2" max="2" width="26.7109375" customWidth="1"/>
  </cols>
  <sheetData>
    <row r="1" spans="1:4" s="12" customFormat="1" ht="12" thickBot="1">
      <c r="A1" s="12" t="s">
        <v>465</v>
      </c>
    </row>
    <row r="2" spans="1:4">
      <c r="A2" s="59" t="s">
        <v>370</v>
      </c>
      <c r="B2" s="57" t="s">
        <v>405</v>
      </c>
    </row>
    <row r="3" spans="1:4" ht="15.75" thickBot="1">
      <c r="A3" s="60"/>
      <c r="B3" s="58"/>
    </row>
    <row r="4" spans="1:4" ht="17.25" thickBot="1">
      <c r="A4" s="1" t="s">
        <v>371</v>
      </c>
      <c r="B4" s="10" t="s">
        <v>1</v>
      </c>
      <c r="C4" s="5"/>
      <c r="D4" s="5"/>
    </row>
    <row r="5" spans="1:4" ht="17.25" thickBot="1">
      <c r="A5" s="1" t="s">
        <v>372</v>
      </c>
      <c r="B5" s="10" t="s">
        <v>2</v>
      </c>
    </row>
    <row r="6" spans="1:4" ht="17.25" thickBot="1">
      <c r="A6" s="1" t="s">
        <v>373</v>
      </c>
      <c r="B6" s="10" t="s">
        <v>3</v>
      </c>
    </row>
    <row r="7" spans="1:4" ht="17.25" thickBot="1">
      <c r="A7" s="1" t="s">
        <v>374</v>
      </c>
      <c r="B7" s="10" t="s">
        <v>4</v>
      </c>
    </row>
    <row r="8" spans="1:4" ht="17.25" thickBot="1">
      <c r="A8" s="1" t="s">
        <v>375</v>
      </c>
      <c r="B8" s="10" t="s">
        <v>5</v>
      </c>
    </row>
    <row r="9" spans="1:4" ht="17.25" thickBot="1">
      <c r="A9" s="1" t="s">
        <v>376</v>
      </c>
      <c r="B9" s="10" t="s">
        <v>6</v>
      </c>
    </row>
    <row r="10" spans="1:4" ht="17.25" thickBot="1">
      <c r="A10" s="1" t="s">
        <v>377</v>
      </c>
      <c r="B10" s="11" t="s">
        <v>7</v>
      </c>
    </row>
    <row r="11" spans="1:4" ht="17.25" thickBot="1">
      <c r="A11" s="1" t="s">
        <v>378</v>
      </c>
      <c r="B11" s="11" t="s">
        <v>8</v>
      </c>
    </row>
    <row r="12" spans="1:4" ht="17.25" thickBot="1">
      <c r="A12" s="1" t="s">
        <v>379</v>
      </c>
      <c r="B12" s="11" t="s">
        <v>9</v>
      </c>
    </row>
    <row r="13" spans="1:4" ht="17.25" thickBot="1">
      <c r="A13" s="1" t="s">
        <v>380</v>
      </c>
      <c r="B13" s="11" t="s">
        <v>10</v>
      </c>
    </row>
    <row r="14" spans="1:4" ht="17.25" thickBot="1">
      <c r="A14" s="1" t="s">
        <v>381</v>
      </c>
      <c r="B14" s="11" t="s">
        <v>11</v>
      </c>
    </row>
    <row r="15" spans="1:4" ht="17.25" thickBot="1">
      <c r="A15" s="1" t="s">
        <v>382</v>
      </c>
      <c r="B15" s="11" t="s">
        <v>12</v>
      </c>
    </row>
    <row r="16" spans="1:4" ht="17.25" thickBot="1">
      <c r="A16" s="1" t="s">
        <v>383</v>
      </c>
      <c r="B16" s="10" t="s">
        <v>13</v>
      </c>
    </row>
    <row r="17" spans="1:2" ht="17.25" thickBot="1">
      <c r="A17" s="1" t="s">
        <v>384</v>
      </c>
      <c r="B17" s="10" t="s">
        <v>14</v>
      </c>
    </row>
    <row r="18" spans="1:2" ht="17.25" thickBot="1">
      <c r="A18" s="1" t="s">
        <v>385</v>
      </c>
      <c r="B18" s="10" t="s">
        <v>15</v>
      </c>
    </row>
    <row r="19" spans="1:2" ht="17.25" thickBot="1">
      <c r="A19" s="1" t="s">
        <v>386</v>
      </c>
      <c r="B19" s="10" t="s">
        <v>16</v>
      </c>
    </row>
    <row r="20" spans="1:2" ht="17.25" thickBot="1">
      <c r="A20" s="1" t="s">
        <v>387</v>
      </c>
      <c r="B20" s="10" t="s">
        <v>17</v>
      </c>
    </row>
    <row r="21" spans="1:2" ht="17.25" thickBot="1">
      <c r="A21" s="1" t="s">
        <v>388</v>
      </c>
      <c r="B21" s="10" t="s">
        <v>18</v>
      </c>
    </row>
    <row r="22" spans="1:2" ht="17.25" thickBot="1">
      <c r="A22" s="1" t="s">
        <v>389</v>
      </c>
      <c r="B22" s="11" t="s">
        <v>19</v>
      </c>
    </row>
    <row r="23" spans="1:2" ht="17.25" thickBot="1">
      <c r="A23" s="1" t="s">
        <v>390</v>
      </c>
      <c r="B23" s="11" t="s">
        <v>20</v>
      </c>
    </row>
    <row r="24" spans="1:2" ht="17.25" thickBot="1">
      <c r="A24" s="1" t="s">
        <v>391</v>
      </c>
      <c r="B24" s="11" t="s">
        <v>21</v>
      </c>
    </row>
    <row r="25" spans="1:2" ht="17.25" thickBot="1">
      <c r="A25" s="1" t="s">
        <v>392</v>
      </c>
      <c r="B25" s="11" t="s">
        <v>22</v>
      </c>
    </row>
    <row r="26" spans="1:2" ht="17.25" thickBot="1">
      <c r="A26" s="1" t="s">
        <v>393</v>
      </c>
      <c r="B26" s="11" t="s">
        <v>23</v>
      </c>
    </row>
    <row r="27" spans="1:2" ht="17.25" thickBot="1">
      <c r="A27" s="1" t="s">
        <v>394</v>
      </c>
      <c r="B27" s="11" t="s">
        <v>24</v>
      </c>
    </row>
    <row r="28" spans="1:2" ht="17.25" thickBot="1">
      <c r="A28" s="1" t="s">
        <v>395</v>
      </c>
      <c r="B28" s="72" t="s">
        <v>406</v>
      </c>
    </row>
    <row r="29" spans="1:2" ht="17.25" thickBot="1">
      <c r="A29" s="1" t="s">
        <v>396</v>
      </c>
      <c r="B29" s="73" t="s">
        <v>25</v>
      </c>
    </row>
    <row r="30" spans="1:2" ht="17.25" thickBot="1">
      <c r="A30" s="1" t="s">
        <v>397</v>
      </c>
      <c r="B30" s="73" t="s">
        <v>26</v>
      </c>
    </row>
    <row r="31" spans="1:2" ht="17.25" thickBot="1">
      <c r="A31" s="1" t="s">
        <v>398</v>
      </c>
      <c r="B31" s="73" t="s">
        <v>27</v>
      </c>
    </row>
    <row r="32" spans="1:2" ht="17.25" thickBot="1">
      <c r="A32" s="1" t="s">
        <v>399</v>
      </c>
      <c r="B32" s="73" t="s">
        <v>28</v>
      </c>
    </row>
    <row r="33" spans="1:2" ht="17.25" thickBot="1">
      <c r="A33" s="1" t="s">
        <v>400</v>
      </c>
      <c r="B33" s="73" t="s">
        <v>29</v>
      </c>
    </row>
    <row r="34" spans="1:2" ht="17.25" thickBot="1">
      <c r="A34" s="1" t="s">
        <v>401</v>
      </c>
      <c r="B34" s="73" t="s">
        <v>30</v>
      </c>
    </row>
    <row r="35" spans="1:2" ht="17.25" thickBot="1">
      <c r="A35" s="1" t="s">
        <v>402</v>
      </c>
      <c r="B35" s="73" t="s">
        <v>31</v>
      </c>
    </row>
    <row r="36" spans="1:2" ht="17.25" thickBot="1">
      <c r="A36" s="1" t="s">
        <v>403</v>
      </c>
      <c r="B36" s="73" t="s">
        <v>32</v>
      </c>
    </row>
    <row r="37" spans="1:2" ht="33" customHeight="1" thickBot="1">
      <c r="A37" s="1" t="s">
        <v>404</v>
      </c>
      <c r="B37" s="73" t="s">
        <v>33</v>
      </c>
    </row>
  </sheetData>
  <mergeCells count="2">
    <mergeCell ref="B2:B3"/>
    <mergeCell ref="A2:A3"/>
  </mergeCells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ECE8-8696-4DBD-B2BE-FB3478FA892C}">
  <dimension ref="A1:F151"/>
  <sheetViews>
    <sheetView tabSelected="1" zoomScaleNormal="100" workbookViewId="0">
      <pane xSplit="3" ySplit="2" topLeftCell="D62" activePane="bottomRight" state="frozen"/>
      <selection pane="topRight" activeCell="E1" sqref="E1"/>
      <selection pane="bottomLeft" activeCell="A2" sqref="A2"/>
      <selection pane="bottomRight" activeCell="F104" sqref="F104"/>
    </sheetView>
  </sheetViews>
  <sheetFormatPr baseColWidth="10" defaultColWidth="11.42578125" defaultRowHeight="12.75"/>
  <cols>
    <col min="1" max="1" width="5.28515625" style="44" customWidth="1"/>
    <col min="2" max="2" width="48.5703125" style="50" customWidth="1"/>
    <col min="3" max="3" width="45.42578125" style="3" bestFit="1" customWidth="1"/>
    <col min="4" max="4" width="3.28515625" style="44" customWidth="1"/>
    <col min="5" max="5" width="16.7109375" style="48" bestFit="1" customWidth="1"/>
    <col min="6" max="6" width="42.28515625" style="3" customWidth="1"/>
    <col min="7" max="16384" width="11.42578125" style="3"/>
  </cols>
  <sheetData>
    <row r="1" spans="1:6" ht="13.5" thickBot="1">
      <c r="A1" s="78" t="s">
        <v>417</v>
      </c>
      <c r="B1" s="49"/>
      <c r="C1" s="38"/>
      <c r="D1" s="41"/>
      <c r="E1" s="52"/>
      <c r="F1" s="38"/>
    </row>
    <row r="2" spans="1:6" ht="51.75" thickBot="1">
      <c r="A2" s="79" t="s">
        <v>34</v>
      </c>
      <c r="B2" s="45" t="s">
        <v>35</v>
      </c>
      <c r="C2" s="2" t="s">
        <v>0</v>
      </c>
      <c r="D2" s="56" t="s">
        <v>423</v>
      </c>
      <c r="E2" s="53" t="s">
        <v>427</v>
      </c>
      <c r="F2" s="39" t="s">
        <v>424</v>
      </c>
    </row>
    <row r="3" spans="1:6" ht="13.5" thickBot="1">
      <c r="A3" s="80">
        <v>0</v>
      </c>
      <c r="B3" s="46" t="s">
        <v>36</v>
      </c>
      <c r="C3" s="9" t="s">
        <v>37</v>
      </c>
      <c r="D3" s="42">
        <v>1</v>
      </c>
      <c r="E3" s="74"/>
      <c r="F3" s="75" t="s">
        <v>420</v>
      </c>
    </row>
    <row r="4" spans="1:6" ht="13.5" thickBot="1">
      <c r="A4" s="81">
        <v>1</v>
      </c>
      <c r="B4" s="47" t="s">
        <v>38</v>
      </c>
      <c r="C4" s="40" t="s">
        <v>39</v>
      </c>
      <c r="D4" s="43"/>
      <c r="E4" s="76"/>
      <c r="F4" s="77"/>
    </row>
    <row r="5" spans="1:6" ht="13.5" thickBot="1">
      <c r="A5" s="80">
        <v>2</v>
      </c>
      <c r="B5" s="46" t="s">
        <v>40</v>
      </c>
      <c r="C5" s="9" t="s">
        <v>41</v>
      </c>
      <c r="D5" s="42"/>
      <c r="E5" s="74"/>
      <c r="F5" s="75"/>
    </row>
    <row r="6" spans="1:6" ht="13.5" thickBot="1">
      <c r="A6" s="81">
        <v>3</v>
      </c>
      <c r="B6" s="47" t="s">
        <v>42</v>
      </c>
      <c r="C6" s="40" t="s">
        <v>43</v>
      </c>
      <c r="D6" s="43"/>
      <c r="E6" s="76"/>
      <c r="F6" s="77"/>
    </row>
    <row r="7" spans="1:6" ht="26.25" thickBot="1">
      <c r="A7" s="80">
        <v>4</v>
      </c>
      <c r="B7" s="46" t="s">
        <v>44</v>
      </c>
      <c r="C7" s="9" t="s">
        <v>45</v>
      </c>
      <c r="D7" s="42"/>
      <c r="E7" s="74"/>
      <c r="F7" s="75"/>
    </row>
    <row r="8" spans="1:6" ht="26.25" thickBot="1">
      <c r="A8" s="81">
        <v>5</v>
      </c>
      <c r="B8" s="47" t="s">
        <v>46</v>
      </c>
      <c r="C8" s="40" t="s">
        <v>47</v>
      </c>
      <c r="D8" s="43"/>
      <c r="E8" s="76"/>
      <c r="F8" s="77"/>
    </row>
    <row r="9" spans="1:6" ht="26.25" thickBot="1">
      <c r="A9" s="80">
        <v>6</v>
      </c>
      <c r="B9" s="46" t="s">
        <v>48</v>
      </c>
      <c r="C9" s="9" t="s">
        <v>49</v>
      </c>
      <c r="D9" s="42"/>
      <c r="E9" s="74"/>
      <c r="F9" s="75"/>
    </row>
    <row r="10" spans="1:6" ht="13.5" thickBot="1">
      <c r="A10" s="81">
        <v>7</v>
      </c>
      <c r="B10" s="47" t="s">
        <v>363</v>
      </c>
      <c r="C10" s="40"/>
      <c r="D10" s="43"/>
      <c r="E10" s="76"/>
      <c r="F10" s="77"/>
    </row>
    <row r="11" spans="1:6" ht="13.5" thickBot="1">
      <c r="A11" s="80">
        <v>8</v>
      </c>
      <c r="B11" s="46" t="s">
        <v>364</v>
      </c>
      <c r="C11" s="9"/>
      <c r="D11" s="42"/>
      <c r="E11" s="74"/>
      <c r="F11" s="75"/>
    </row>
    <row r="12" spans="1:6" ht="13.5" thickBot="1">
      <c r="A12" s="80">
        <v>12</v>
      </c>
      <c r="B12" s="46" t="s">
        <v>50</v>
      </c>
      <c r="C12" s="9" t="s">
        <v>51</v>
      </c>
      <c r="D12" s="42"/>
      <c r="E12" s="74"/>
      <c r="F12" s="75"/>
    </row>
    <row r="13" spans="1:6" ht="13.5" thickBot="1">
      <c r="A13" s="80">
        <v>20</v>
      </c>
      <c r="B13" s="46" t="s">
        <v>52</v>
      </c>
      <c r="C13" s="9" t="s">
        <v>53</v>
      </c>
      <c r="D13" s="42"/>
      <c r="E13" s="74"/>
      <c r="F13" s="75"/>
    </row>
    <row r="14" spans="1:6" ht="13.5" thickBot="1">
      <c r="A14" s="81">
        <v>21</v>
      </c>
      <c r="B14" s="47" t="s">
        <v>54</v>
      </c>
      <c r="C14" s="40" t="s">
        <v>55</v>
      </c>
      <c r="D14" s="43"/>
      <c r="E14" s="76"/>
      <c r="F14" s="77"/>
    </row>
    <row r="15" spans="1:6" ht="13.5" thickBot="1">
      <c r="A15" s="80">
        <v>22</v>
      </c>
      <c r="B15" s="46" t="s">
        <v>56</v>
      </c>
      <c r="C15" s="9" t="s">
        <v>57</v>
      </c>
      <c r="D15" s="42"/>
      <c r="E15" s="74"/>
      <c r="F15" s="75"/>
    </row>
    <row r="16" spans="1:6" ht="13.5" thickBot="1">
      <c r="A16" s="81">
        <v>23</v>
      </c>
      <c r="B16" s="47" t="s">
        <v>58</v>
      </c>
      <c r="C16" s="40" t="s">
        <v>59</v>
      </c>
      <c r="D16" s="43"/>
      <c r="E16" s="76"/>
      <c r="F16" s="77"/>
    </row>
    <row r="17" spans="1:6" ht="13.5" thickBot="1">
      <c r="A17" s="80">
        <v>24</v>
      </c>
      <c r="B17" s="46" t="s">
        <v>60</v>
      </c>
      <c r="C17" s="9" t="s">
        <v>61</v>
      </c>
      <c r="D17" s="42"/>
      <c r="E17" s="74"/>
      <c r="F17" s="75"/>
    </row>
    <row r="18" spans="1:6" ht="26.25" thickBot="1">
      <c r="A18" s="81">
        <v>25</v>
      </c>
      <c r="B18" s="47" t="s">
        <v>62</v>
      </c>
      <c r="C18" s="40" t="s">
        <v>63</v>
      </c>
      <c r="D18" s="43">
        <v>1</v>
      </c>
      <c r="E18" s="76" t="s">
        <v>428</v>
      </c>
      <c r="F18" s="77"/>
    </row>
    <row r="19" spans="1:6" ht="26.25" thickBot="1">
      <c r="A19" s="80">
        <v>30</v>
      </c>
      <c r="B19" s="46" t="s">
        <v>64</v>
      </c>
      <c r="C19" s="9" t="s">
        <v>65</v>
      </c>
      <c r="D19" s="42"/>
      <c r="E19" s="74"/>
      <c r="F19" s="75"/>
    </row>
    <row r="20" spans="1:6" ht="13.5" thickBot="1">
      <c r="A20" s="81">
        <v>31</v>
      </c>
      <c r="B20" s="47" t="s">
        <v>66</v>
      </c>
      <c r="C20" s="40" t="s">
        <v>67</v>
      </c>
      <c r="D20" s="43"/>
      <c r="E20" s="76"/>
      <c r="F20" s="77"/>
    </row>
    <row r="21" spans="1:6" ht="13.5" thickBot="1">
      <c r="A21" s="80">
        <v>32</v>
      </c>
      <c r="B21" s="46" t="s">
        <v>68</v>
      </c>
      <c r="C21" s="9" t="s">
        <v>69</v>
      </c>
      <c r="D21" s="42"/>
      <c r="E21" s="74"/>
      <c r="F21" s="75"/>
    </row>
    <row r="22" spans="1:6" ht="13.5" thickBot="1">
      <c r="A22" s="81">
        <v>33</v>
      </c>
      <c r="B22" s="47" t="s">
        <v>70</v>
      </c>
      <c r="C22" s="40" t="s">
        <v>71</v>
      </c>
      <c r="D22" s="43"/>
      <c r="E22" s="76"/>
      <c r="F22" s="77"/>
    </row>
    <row r="23" spans="1:6" ht="13.5" thickBot="1">
      <c r="A23" s="80">
        <v>34</v>
      </c>
      <c r="B23" s="46" t="s">
        <v>72</v>
      </c>
      <c r="C23" s="9" t="s">
        <v>73</v>
      </c>
      <c r="D23" s="42"/>
      <c r="E23" s="74"/>
      <c r="F23" s="75"/>
    </row>
    <row r="24" spans="1:6" ht="13.5" thickBot="1">
      <c r="A24" s="81">
        <v>35</v>
      </c>
      <c r="B24" s="47" t="s">
        <v>74</v>
      </c>
      <c r="C24" s="40" t="s">
        <v>75</v>
      </c>
      <c r="D24" s="43"/>
      <c r="E24" s="76"/>
      <c r="F24" s="77"/>
    </row>
    <row r="25" spans="1:6" ht="13.5" thickBot="1">
      <c r="A25" s="80">
        <v>36</v>
      </c>
      <c r="B25" s="46" t="s">
        <v>76</v>
      </c>
      <c r="C25" s="9" t="s">
        <v>77</v>
      </c>
      <c r="D25" s="42"/>
      <c r="E25" s="74"/>
      <c r="F25" s="75"/>
    </row>
    <row r="26" spans="1:6" ht="13.5" thickBot="1">
      <c r="A26" s="80">
        <v>50</v>
      </c>
      <c r="B26" s="46" t="s">
        <v>78</v>
      </c>
      <c r="C26" s="9" t="s">
        <v>79</v>
      </c>
      <c r="D26" s="42">
        <v>1</v>
      </c>
      <c r="E26" s="74" t="s">
        <v>429</v>
      </c>
      <c r="F26" s="75" t="s">
        <v>430</v>
      </c>
    </row>
    <row r="27" spans="1:6" ht="39" thickBot="1">
      <c r="A27" s="81">
        <v>51</v>
      </c>
      <c r="B27" s="47" t="s">
        <v>80</v>
      </c>
      <c r="C27" s="40" t="s">
        <v>81</v>
      </c>
      <c r="D27" s="43">
        <v>1</v>
      </c>
      <c r="E27" s="76" t="s">
        <v>425</v>
      </c>
      <c r="F27" s="77" t="s">
        <v>431</v>
      </c>
    </row>
    <row r="28" spans="1:6" ht="13.5" thickBot="1">
      <c r="A28" s="80">
        <v>52</v>
      </c>
      <c r="B28" s="46" t="s">
        <v>82</v>
      </c>
      <c r="C28" s="9" t="s">
        <v>83</v>
      </c>
      <c r="D28" s="42"/>
      <c r="E28" s="74"/>
      <c r="F28" s="75"/>
    </row>
    <row r="29" spans="1:6" s="8" customFormat="1" ht="26.25" thickBot="1">
      <c r="A29" s="80">
        <v>60</v>
      </c>
      <c r="B29" s="46" t="s">
        <v>84</v>
      </c>
      <c r="C29" s="9" t="s">
        <v>85</v>
      </c>
      <c r="D29" s="42">
        <v>1</v>
      </c>
      <c r="E29" s="74"/>
      <c r="F29" s="75" t="s">
        <v>433</v>
      </c>
    </row>
    <row r="30" spans="1:6" ht="26.25" thickBot="1">
      <c r="A30" s="81">
        <v>61</v>
      </c>
      <c r="B30" s="47" t="s">
        <v>86</v>
      </c>
      <c r="C30" s="40" t="s">
        <v>87</v>
      </c>
      <c r="D30" s="43">
        <v>1</v>
      </c>
      <c r="E30" s="76" t="s">
        <v>369</v>
      </c>
      <c r="F30" s="77" t="s">
        <v>426</v>
      </c>
    </row>
    <row r="31" spans="1:6" ht="26.25" thickBot="1">
      <c r="A31" s="80">
        <v>62</v>
      </c>
      <c r="B31" s="46" t="s">
        <v>88</v>
      </c>
      <c r="C31" s="9" t="s">
        <v>89</v>
      </c>
      <c r="D31" s="42">
        <v>1</v>
      </c>
      <c r="E31" s="74"/>
      <c r="F31" s="74" t="s">
        <v>434</v>
      </c>
    </row>
    <row r="32" spans="1:6" ht="26.25" thickBot="1">
      <c r="A32" s="81">
        <v>63</v>
      </c>
      <c r="B32" s="47" t="s">
        <v>90</v>
      </c>
      <c r="C32" s="40" t="s">
        <v>91</v>
      </c>
      <c r="D32" s="43">
        <v>1</v>
      </c>
      <c r="E32" s="76" t="s">
        <v>369</v>
      </c>
      <c r="F32" s="77" t="s">
        <v>426</v>
      </c>
    </row>
    <row r="33" spans="1:6" ht="13.5" thickBot="1">
      <c r="A33" s="80">
        <v>64</v>
      </c>
      <c r="B33" s="46" t="s">
        <v>92</v>
      </c>
      <c r="C33" s="9" t="s">
        <v>93</v>
      </c>
      <c r="D33" s="42">
        <v>1</v>
      </c>
      <c r="E33" s="74"/>
      <c r="F33" s="75" t="s">
        <v>94</v>
      </c>
    </row>
    <row r="34" spans="1:6" ht="26.25" thickBot="1">
      <c r="A34" s="81">
        <v>65</v>
      </c>
      <c r="B34" s="47" t="s">
        <v>95</v>
      </c>
      <c r="C34" s="40" t="s">
        <v>96</v>
      </c>
      <c r="D34" s="43">
        <v>1</v>
      </c>
      <c r="E34" s="76"/>
      <c r="F34" s="77" t="s">
        <v>434</v>
      </c>
    </row>
    <row r="35" spans="1:6" ht="26.25" thickBot="1">
      <c r="A35" s="80">
        <v>66</v>
      </c>
      <c r="B35" s="46" t="s">
        <v>97</v>
      </c>
      <c r="C35" s="9" t="s">
        <v>98</v>
      </c>
      <c r="D35" s="42">
        <v>1</v>
      </c>
      <c r="E35" s="74" t="s">
        <v>368</v>
      </c>
      <c r="F35" s="75" t="s">
        <v>435</v>
      </c>
    </row>
    <row r="36" spans="1:6" ht="26.25" thickBot="1">
      <c r="A36" s="81">
        <v>67</v>
      </c>
      <c r="B36" s="47" t="s">
        <v>99</v>
      </c>
      <c r="C36" s="40" t="s">
        <v>100</v>
      </c>
      <c r="D36" s="43">
        <v>1</v>
      </c>
      <c r="E36" s="76" t="s">
        <v>368</v>
      </c>
      <c r="F36" s="77" t="s">
        <v>435</v>
      </c>
    </row>
    <row r="37" spans="1:6" ht="13.5" thickBot="1">
      <c r="A37" s="80">
        <v>68</v>
      </c>
      <c r="B37" s="46" t="s">
        <v>101</v>
      </c>
      <c r="C37" s="9" t="s">
        <v>93</v>
      </c>
      <c r="D37" s="42"/>
      <c r="E37" s="74"/>
      <c r="F37" s="75"/>
    </row>
    <row r="38" spans="1:6" ht="26.25" thickBot="1">
      <c r="A38" s="81">
        <v>69</v>
      </c>
      <c r="B38" s="47" t="s">
        <v>102</v>
      </c>
      <c r="C38" s="40" t="s">
        <v>103</v>
      </c>
      <c r="D38" s="43">
        <v>1</v>
      </c>
      <c r="E38" s="76" t="s">
        <v>418</v>
      </c>
      <c r="F38" s="77" t="s">
        <v>436</v>
      </c>
    </row>
    <row r="39" spans="1:6" ht="13.5" thickBot="1">
      <c r="A39" s="80" t="s">
        <v>104</v>
      </c>
      <c r="B39" s="46" t="s">
        <v>105</v>
      </c>
      <c r="C39" s="9" t="s">
        <v>106</v>
      </c>
      <c r="D39" s="42"/>
      <c r="E39" s="74"/>
      <c r="F39" s="75"/>
    </row>
    <row r="40" spans="1:6" ht="26.25" thickBot="1">
      <c r="A40" s="81" t="s">
        <v>107</v>
      </c>
      <c r="B40" s="47" t="s">
        <v>108</v>
      </c>
      <c r="C40" s="40" t="s">
        <v>109</v>
      </c>
      <c r="D40" s="43">
        <v>1</v>
      </c>
      <c r="E40" s="76" t="s">
        <v>418</v>
      </c>
      <c r="F40" s="77" t="s">
        <v>437</v>
      </c>
    </row>
    <row r="41" spans="1:6" ht="13.5" thickBot="1">
      <c r="A41" s="80" t="s">
        <v>110</v>
      </c>
      <c r="B41" s="46" t="s">
        <v>111</v>
      </c>
      <c r="C41" s="9" t="s">
        <v>112</v>
      </c>
      <c r="D41" s="42"/>
      <c r="E41" s="74"/>
      <c r="F41" s="75"/>
    </row>
    <row r="42" spans="1:6" ht="13.5" thickBot="1">
      <c r="A42" s="81" t="s">
        <v>113</v>
      </c>
      <c r="B42" s="47" t="s">
        <v>114</v>
      </c>
      <c r="C42" s="40" t="s">
        <v>115</v>
      </c>
      <c r="D42" s="43"/>
      <c r="E42" s="76"/>
      <c r="F42" s="77"/>
    </row>
    <row r="43" spans="1:6" ht="64.5" thickBot="1">
      <c r="A43" s="80" t="s">
        <v>116</v>
      </c>
      <c r="B43" s="46" t="s">
        <v>117</v>
      </c>
      <c r="C43" s="9" t="s">
        <v>118</v>
      </c>
      <c r="D43" s="42">
        <v>1</v>
      </c>
      <c r="E43" s="74" t="s">
        <v>438</v>
      </c>
      <c r="F43" s="75" t="s">
        <v>432</v>
      </c>
    </row>
    <row r="44" spans="1:6" ht="39" thickBot="1">
      <c r="A44" s="81" t="s">
        <v>119</v>
      </c>
      <c r="B44" s="47" t="s">
        <v>120</v>
      </c>
      <c r="C44" s="40" t="s">
        <v>121</v>
      </c>
      <c r="D44" s="43">
        <v>1</v>
      </c>
      <c r="E44" s="76" t="s">
        <v>368</v>
      </c>
      <c r="F44" s="77" t="s">
        <v>467</v>
      </c>
    </row>
    <row r="45" spans="1:6" ht="13.5" thickBot="1">
      <c r="A45" s="80">
        <v>70</v>
      </c>
      <c r="B45" s="46" t="s">
        <v>122</v>
      </c>
      <c r="C45" s="9" t="s">
        <v>123</v>
      </c>
      <c r="D45" s="42">
        <v>1</v>
      </c>
      <c r="E45" s="74"/>
      <c r="F45" s="75" t="s">
        <v>439</v>
      </c>
    </row>
    <row r="46" spans="1:6" ht="13.5" thickBot="1">
      <c r="A46" s="81">
        <v>71</v>
      </c>
      <c r="B46" s="47" t="s">
        <v>124</v>
      </c>
      <c r="C46" s="40" t="s">
        <v>123</v>
      </c>
      <c r="D46" s="43">
        <v>1</v>
      </c>
      <c r="E46" s="76"/>
      <c r="F46" s="77" t="s">
        <v>439</v>
      </c>
    </row>
    <row r="47" spans="1:6" ht="13.5" thickBot="1">
      <c r="A47" s="80">
        <v>72</v>
      </c>
      <c r="B47" s="46" t="s">
        <v>125</v>
      </c>
      <c r="C47" s="9" t="s">
        <v>126</v>
      </c>
      <c r="D47" s="42">
        <v>1</v>
      </c>
      <c r="E47" s="74"/>
      <c r="F47" s="75" t="s">
        <v>439</v>
      </c>
    </row>
    <row r="48" spans="1:6" ht="13.5" thickBot="1">
      <c r="A48" s="81">
        <v>73</v>
      </c>
      <c r="B48" s="47" t="s">
        <v>127</v>
      </c>
      <c r="C48" s="40" t="s">
        <v>123</v>
      </c>
      <c r="D48" s="43">
        <v>1</v>
      </c>
      <c r="E48" s="76"/>
      <c r="F48" s="77" t="s">
        <v>439</v>
      </c>
    </row>
    <row r="49" spans="1:6" ht="13.5" thickBot="1">
      <c r="A49" s="80">
        <v>74</v>
      </c>
      <c r="B49" s="46" t="s">
        <v>128</v>
      </c>
      <c r="C49" s="9" t="s">
        <v>129</v>
      </c>
      <c r="D49" s="42">
        <v>1</v>
      </c>
      <c r="E49" s="74"/>
      <c r="F49" s="75"/>
    </row>
    <row r="50" spans="1:6" ht="13.5" thickBot="1">
      <c r="A50" s="81">
        <v>75</v>
      </c>
      <c r="B50" s="47" t="s">
        <v>130</v>
      </c>
      <c r="C50" s="40" t="s">
        <v>131</v>
      </c>
      <c r="D50" s="43"/>
      <c r="E50" s="76"/>
      <c r="F50" s="77"/>
    </row>
    <row r="51" spans="1:6" ht="26.25" thickBot="1">
      <c r="A51" s="80">
        <v>76</v>
      </c>
      <c r="B51" s="46" t="s">
        <v>132</v>
      </c>
      <c r="C51" s="9" t="s">
        <v>133</v>
      </c>
      <c r="D51" s="42">
        <v>1</v>
      </c>
      <c r="E51" s="74" t="s">
        <v>440</v>
      </c>
      <c r="F51" s="75" t="s">
        <v>441</v>
      </c>
    </row>
    <row r="52" spans="1:6" ht="13.5" thickBot="1">
      <c r="A52" s="81">
        <v>77</v>
      </c>
      <c r="B52" s="47" t="s">
        <v>134</v>
      </c>
      <c r="C52" s="40" t="s">
        <v>135</v>
      </c>
      <c r="D52" s="43"/>
      <c r="E52" s="76"/>
      <c r="F52" s="77"/>
    </row>
    <row r="53" spans="1:6" ht="26.25" thickBot="1">
      <c r="A53" s="80">
        <v>78</v>
      </c>
      <c r="B53" s="46" t="s">
        <v>136</v>
      </c>
      <c r="C53" s="9" t="s">
        <v>137</v>
      </c>
      <c r="D53" s="42">
        <v>1</v>
      </c>
      <c r="E53" s="74"/>
      <c r="F53" s="75" t="s">
        <v>419</v>
      </c>
    </row>
    <row r="54" spans="1:6" ht="26.25" thickBot="1">
      <c r="A54" s="81">
        <v>79</v>
      </c>
      <c r="B54" s="47" t="s">
        <v>138</v>
      </c>
      <c r="C54" s="40" t="s">
        <v>139</v>
      </c>
      <c r="D54" s="43">
        <v>1</v>
      </c>
      <c r="E54" s="76"/>
      <c r="F54" s="77"/>
    </row>
    <row r="55" spans="1:6" ht="26.25" thickBot="1">
      <c r="A55" s="80" t="s">
        <v>140</v>
      </c>
      <c r="B55" s="46" t="s">
        <v>411</v>
      </c>
      <c r="C55" s="9" t="s">
        <v>412</v>
      </c>
      <c r="D55" s="42"/>
      <c r="E55" s="74"/>
      <c r="F55" s="75"/>
    </row>
    <row r="56" spans="1:6" ht="13.5" thickBot="1">
      <c r="A56" s="80">
        <v>80</v>
      </c>
      <c r="B56" s="46" t="s">
        <v>141</v>
      </c>
      <c r="C56" s="9" t="s">
        <v>142</v>
      </c>
      <c r="D56" s="42"/>
      <c r="E56" s="74"/>
      <c r="F56" s="75"/>
    </row>
    <row r="57" spans="1:6" ht="13.5" thickBot="1">
      <c r="A57" s="81">
        <v>81</v>
      </c>
      <c r="B57" s="47" t="s">
        <v>143</v>
      </c>
      <c r="C57" s="40" t="s">
        <v>144</v>
      </c>
      <c r="D57" s="43"/>
      <c r="E57" s="76"/>
      <c r="F57" s="77"/>
    </row>
    <row r="58" spans="1:6" ht="26.25" thickBot="1">
      <c r="A58" s="80">
        <v>82</v>
      </c>
      <c r="B58" s="46" t="s">
        <v>145</v>
      </c>
      <c r="C58" s="9" t="s">
        <v>146</v>
      </c>
      <c r="D58" s="42">
        <v>1</v>
      </c>
      <c r="E58" s="74" t="s">
        <v>418</v>
      </c>
      <c r="F58" s="75"/>
    </row>
    <row r="59" spans="1:6" ht="13.5" thickBot="1">
      <c r="A59" s="81">
        <v>83</v>
      </c>
      <c r="B59" s="47" t="s">
        <v>147</v>
      </c>
      <c r="C59" s="40" t="s">
        <v>148</v>
      </c>
      <c r="D59" s="43"/>
      <c r="E59" s="76" t="s">
        <v>463</v>
      </c>
      <c r="F59" s="77"/>
    </row>
    <row r="60" spans="1:6" ht="26.25" thickBot="1">
      <c r="A60" s="80">
        <v>84</v>
      </c>
      <c r="B60" s="46" t="s">
        <v>149</v>
      </c>
      <c r="C60" s="9" t="s">
        <v>150</v>
      </c>
      <c r="D60" s="42">
        <v>1</v>
      </c>
      <c r="E60" s="74"/>
      <c r="F60" s="75" t="s">
        <v>422</v>
      </c>
    </row>
    <row r="61" spans="1:6" ht="51.75" thickBot="1">
      <c r="A61" s="81">
        <v>85</v>
      </c>
      <c r="B61" s="47" t="s">
        <v>151</v>
      </c>
      <c r="C61" s="40" t="s">
        <v>152</v>
      </c>
      <c r="D61" s="43">
        <v>1</v>
      </c>
      <c r="E61" s="76" t="s">
        <v>421</v>
      </c>
      <c r="F61" s="77" t="s">
        <v>462</v>
      </c>
    </row>
    <row r="62" spans="1:6" ht="51.75" thickBot="1">
      <c r="A62" s="80">
        <v>86</v>
      </c>
      <c r="B62" s="46" t="s">
        <v>153</v>
      </c>
      <c r="C62" s="9" t="s">
        <v>154</v>
      </c>
      <c r="D62" s="42">
        <v>1</v>
      </c>
      <c r="E62" s="74" t="s">
        <v>458</v>
      </c>
      <c r="F62" s="75"/>
    </row>
    <row r="63" spans="1:6" ht="26.25" thickBot="1">
      <c r="A63" s="81">
        <v>87</v>
      </c>
      <c r="B63" s="47" t="s">
        <v>155</v>
      </c>
      <c r="C63" s="40" t="s">
        <v>109</v>
      </c>
      <c r="D63" s="43"/>
      <c r="E63" s="76" t="s">
        <v>461</v>
      </c>
      <c r="F63" s="77" t="s">
        <v>460</v>
      </c>
    </row>
    <row r="64" spans="1:6" ht="13.5" thickBot="1">
      <c r="A64" s="80">
        <v>88</v>
      </c>
      <c r="B64" s="46" t="s">
        <v>156</v>
      </c>
      <c r="C64" s="9" t="s">
        <v>157</v>
      </c>
      <c r="D64" s="42"/>
      <c r="E64" s="74"/>
      <c r="F64" s="75"/>
    </row>
    <row r="65" spans="1:6" ht="13.5" thickBot="1">
      <c r="A65" s="81">
        <v>89</v>
      </c>
      <c r="B65" s="47" t="s">
        <v>158</v>
      </c>
      <c r="C65" s="40" t="s">
        <v>159</v>
      </c>
      <c r="D65" s="43"/>
      <c r="E65" s="76"/>
      <c r="F65" s="77"/>
    </row>
    <row r="66" spans="1:6" ht="13.5" thickBot="1">
      <c r="A66" s="80" t="s">
        <v>160</v>
      </c>
      <c r="B66" s="46" t="s">
        <v>161</v>
      </c>
      <c r="C66" s="9" t="s">
        <v>162</v>
      </c>
      <c r="D66" s="42"/>
      <c r="E66" s="74"/>
      <c r="F66" s="75"/>
    </row>
    <row r="67" spans="1:6" ht="13.5" thickBot="1">
      <c r="A67" s="81" t="s">
        <v>163</v>
      </c>
      <c r="B67" s="47" t="s">
        <v>164</v>
      </c>
      <c r="C67" s="40" t="s">
        <v>165</v>
      </c>
      <c r="D67" s="43"/>
      <c r="E67" s="76"/>
      <c r="F67" s="77"/>
    </row>
    <row r="68" spans="1:6" ht="77.25" thickBot="1">
      <c r="A68" s="80" t="s">
        <v>166</v>
      </c>
      <c r="B68" s="46" t="s">
        <v>167</v>
      </c>
      <c r="C68" s="9" t="s">
        <v>168</v>
      </c>
      <c r="D68" s="42">
        <v>1</v>
      </c>
      <c r="E68" s="74" t="s">
        <v>468</v>
      </c>
      <c r="F68" s="75" t="s">
        <v>459</v>
      </c>
    </row>
    <row r="69" spans="1:6" ht="13.5" thickBot="1">
      <c r="A69" s="81" t="s">
        <v>169</v>
      </c>
      <c r="B69" s="47" t="s">
        <v>170</v>
      </c>
      <c r="C69" s="40" t="s">
        <v>171</v>
      </c>
      <c r="D69" s="43"/>
      <c r="E69" s="76"/>
      <c r="F69" s="77"/>
    </row>
    <row r="70" spans="1:6" ht="13.5" thickBot="1">
      <c r="A70" s="80" t="s">
        <v>172</v>
      </c>
      <c r="B70" s="46" t="s">
        <v>173</v>
      </c>
      <c r="C70" s="9" t="s">
        <v>174</v>
      </c>
      <c r="D70" s="42"/>
      <c r="E70" s="74"/>
      <c r="F70" s="75"/>
    </row>
    <row r="71" spans="1:6" ht="13.5" thickBot="1">
      <c r="A71" s="81" t="s">
        <v>175</v>
      </c>
      <c r="B71" s="47" t="s">
        <v>176</v>
      </c>
      <c r="C71" s="40" t="s">
        <v>177</v>
      </c>
      <c r="D71" s="43"/>
      <c r="E71" s="76"/>
      <c r="F71" s="77"/>
    </row>
    <row r="72" spans="1:6" ht="13.5" thickBot="1">
      <c r="A72" s="80">
        <v>90</v>
      </c>
      <c r="B72" s="46" t="s">
        <v>178</v>
      </c>
      <c r="C72" s="9" t="s">
        <v>179</v>
      </c>
      <c r="D72" s="42"/>
      <c r="E72" s="74"/>
      <c r="F72" s="75"/>
    </row>
    <row r="73" spans="1:6" ht="13.5" thickBot="1">
      <c r="A73" s="81">
        <v>91</v>
      </c>
      <c r="B73" s="47" t="s">
        <v>180</v>
      </c>
      <c r="C73" s="40" t="s">
        <v>181</v>
      </c>
      <c r="D73" s="43"/>
      <c r="E73" s="76"/>
      <c r="F73" s="77"/>
    </row>
    <row r="74" spans="1:6" ht="51.75" thickBot="1">
      <c r="A74" s="80">
        <v>92</v>
      </c>
      <c r="B74" s="46" t="s">
        <v>182</v>
      </c>
      <c r="C74" s="9" t="s">
        <v>183</v>
      </c>
      <c r="D74" s="42">
        <v>1</v>
      </c>
      <c r="E74" s="74" t="s">
        <v>442</v>
      </c>
      <c r="F74" s="75"/>
    </row>
    <row r="75" spans="1:6" ht="13.5" thickBot="1">
      <c r="A75" s="81">
        <v>93</v>
      </c>
      <c r="B75" s="47" t="s">
        <v>365</v>
      </c>
      <c r="C75" s="40"/>
      <c r="D75" s="43"/>
      <c r="E75" s="76"/>
      <c r="F75" s="77"/>
    </row>
    <row r="76" spans="1:6" ht="26.25" thickBot="1">
      <c r="A76" s="80" t="s">
        <v>185</v>
      </c>
      <c r="B76" s="46" t="s">
        <v>70</v>
      </c>
      <c r="C76" s="9" t="s">
        <v>73</v>
      </c>
      <c r="D76" s="42">
        <v>1</v>
      </c>
      <c r="E76" s="74" t="s">
        <v>443</v>
      </c>
      <c r="F76" s="75" t="s">
        <v>444</v>
      </c>
    </row>
    <row r="77" spans="1:6" ht="64.5" thickBot="1">
      <c r="A77" s="81" t="s">
        <v>186</v>
      </c>
      <c r="B77" s="47" t="s">
        <v>72</v>
      </c>
      <c r="C77" s="40" t="s">
        <v>71</v>
      </c>
      <c r="D77" s="43">
        <v>1</v>
      </c>
      <c r="E77" s="76" t="s">
        <v>446</v>
      </c>
      <c r="F77" s="77"/>
    </row>
    <row r="78" spans="1:6" ht="26.25" thickBot="1">
      <c r="A78" s="80" t="s">
        <v>187</v>
      </c>
      <c r="B78" s="46" t="s">
        <v>188</v>
      </c>
      <c r="C78" s="9" t="s">
        <v>189</v>
      </c>
      <c r="D78" s="42"/>
      <c r="E78" s="74"/>
      <c r="F78" s="75"/>
    </row>
    <row r="79" spans="1:6" ht="13.5" thickBot="1">
      <c r="A79" s="81" t="s">
        <v>190</v>
      </c>
      <c r="B79" s="47" t="s">
        <v>191</v>
      </c>
      <c r="C79" s="40" t="s">
        <v>192</v>
      </c>
      <c r="D79" s="43"/>
      <c r="E79" s="76"/>
      <c r="F79" s="77"/>
    </row>
    <row r="80" spans="1:6" ht="13.5" thickBot="1">
      <c r="A80" s="80" t="s">
        <v>193</v>
      </c>
      <c r="B80" s="46" t="s">
        <v>194</v>
      </c>
      <c r="C80" s="9" t="s">
        <v>195</v>
      </c>
      <c r="D80" s="42"/>
      <c r="E80" s="74"/>
      <c r="F80" s="75"/>
    </row>
    <row r="81" spans="1:6" ht="13.5" thickBot="1">
      <c r="A81" s="81" t="s">
        <v>196</v>
      </c>
      <c r="B81" s="47" t="s">
        <v>197</v>
      </c>
      <c r="C81" s="40" t="s">
        <v>198</v>
      </c>
      <c r="D81" s="43"/>
      <c r="E81" s="76"/>
      <c r="F81" s="77"/>
    </row>
    <row r="82" spans="1:6" ht="13.5" thickBot="1">
      <c r="A82" s="80" t="s">
        <v>199</v>
      </c>
      <c r="B82" s="46" t="s">
        <v>200</v>
      </c>
      <c r="C82" s="9" t="s">
        <v>201</v>
      </c>
      <c r="D82" s="42"/>
      <c r="E82" s="74"/>
      <c r="F82" s="75"/>
    </row>
    <row r="83" spans="1:6" ht="13.5" thickBot="1">
      <c r="A83" s="81" t="s">
        <v>202</v>
      </c>
      <c r="B83" s="47" t="s">
        <v>203</v>
      </c>
      <c r="C83" s="40" t="s">
        <v>204</v>
      </c>
      <c r="D83" s="43"/>
      <c r="E83" s="76"/>
      <c r="F83" s="77"/>
    </row>
    <row r="84" spans="1:6" ht="26.25" thickBot="1">
      <c r="A84" s="80" t="s">
        <v>205</v>
      </c>
      <c r="B84" s="46" t="s">
        <v>206</v>
      </c>
      <c r="C84" s="9" t="s">
        <v>207</v>
      </c>
      <c r="D84" s="42">
        <v>1</v>
      </c>
      <c r="E84" s="74" t="s">
        <v>443</v>
      </c>
      <c r="F84" s="75" t="s">
        <v>445</v>
      </c>
    </row>
    <row r="85" spans="1:6" ht="26.25" thickBot="1">
      <c r="A85" s="81" t="s">
        <v>208</v>
      </c>
      <c r="B85" s="47" t="s">
        <v>209</v>
      </c>
      <c r="C85" s="40" t="s">
        <v>210</v>
      </c>
      <c r="D85" s="43"/>
      <c r="E85" s="76"/>
      <c r="F85" s="77"/>
    </row>
    <row r="86" spans="1:6" ht="13.5" thickBot="1">
      <c r="A86" s="80" t="s">
        <v>211</v>
      </c>
      <c r="B86" s="46" t="s">
        <v>212</v>
      </c>
      <c r="C86" s="9" t="s">
        <v>213</v>
      </c>
      <c r="D86" s="42"/>
      <c r="E86" s="74"/>
      <c r="F86" s="75"/>
    </row>
    <row r="87" spans="1:6" ht="39" thickBot="1">
      <c r="A87" s="81" t="s">
        <v>214</v>
      </c>
      <c r="B87" s="47" t="s">
        <v>366</v>
      </c>
      <c r="C87" s="40" t="s">
        <v>367</v>
      </c>
      <c r="D87" s="43">
        <v>1</v>
      </c>
      <c r="E87" s="76" t="s">
        <v>447</v>
      </c>
      <c r="F87" s="77"/>
    </row>
    <row r="88" spans="1:6" ht="13.5" thickBot="1">
      <c r="A88" s="81" t="s">
        <v>215</v>
      </c>
      <c r="B88" s="47" t="s">
        <v>78</v>
      </c>
      <c r="C88" s="40" t="s">
        <v>216</v>
      </c>
      <c r="D88" s="43">
        <v>1</v>
      </c>
      <c r="E88" s="76"/>
      <c r="F88" s="77" t="s">
        <v>448</v>
      </c>
    </row>
    <row r="89" spans="1:6" ht="13.5" thickBot="1">
      <c r="A89" s="80" t="s">
        <v>217</v>
      </c>
      <c r="B89" s="46" t="s">
        <v>218</v>
      </c>
      <c r="C89" s="9" t="s">
        <v>219</v>
      </c>
      <c r="D89" s="42"/>
      <c r="E89" s="74"/>
      <c r="F89" s="75"/>
    </row>
    <row r="90" spans="1:6" ht="26.25" thickBot="1">
      <c r="A90" s="81" t="s">
        <v>220</v>
      </c>
      <c r="B90" s="47" t="s">
        <v>221</v>
      </c>
      <c r="C90" s="40" t="s">
        <v>222</v>
      </c>
      <c r="D90" s="43">
        <v>1</v>
      </c>
      <c r="E90" s="76" t="s">
        <v>453</v>
      </c>
      <c r="F90" s="77" t="s">
        <v>469</v>
      </c>
    </row>
    <row r="91" spans="1:6" ht="26.25" thickBot="1">
      <c r="A91" s="80" t="s">
        <v>223</v>
      </c>
      <c r="B91" s="46" t="s">
        <v>224</v>
      </c>
      <c r="C91" s="9" t="s">
        <v>225</v>
      </c>
      <c r="D91" s="42">
        <v>1</v>
      </c>
      <c r="E91" s="74" t="s">
        <v>453</v>
      </c>
      <c r="F91" s="75" t="s">
        <v>469</v>
      </c>
    </row>
    <row r="92" spans="1:6" ht="26.25" thickBot="1">
      <c r="A92" s="81" t="s">
        <v>226</v>
      </c>
      <c r="B92" s="47" t="s">
        <v>227</v>
      </c>
      <c r="C92" s="40" t="s">
        <v>228</v>
      </c>
      <c r="D92" s="43"/>
      <c r="E92" s="76"/>
      <c r="F92" s="77"/>
    </row>
    <row r="93" spans="1:6" ht="13.5" thickBot="1">
      <c r="A93" s="80" t="s">
        <v>229</v>
      </c>
      <c r="B93" s="46" t="s">
        <v>230</v>
      </c>
      <c r="C93" s="9" t="s">
        <v>231</v>
      </c>
      <c r="D93" s="42"/>
      <c r="E93" s="74"/>
      <c r="F93" s="75"/>
    </row>
    <row r="94" spans="1:6" ht="39" thickBot="1">
      <c r="A94" s="81" t="s">
        <v>232</v>
      </c>
      <c r="B94" s="47" t="s">
        <v>233</v>
      </c>
      <c r="C94" s="40" t="s">
        <v>234</v>
      </c>
      <c r="D94" s="43">
        <v>1</v>
      </c>
      <c r="E94" s="76" t="s">
        <v>449</v>
      </c>
      <c r="F94" s="77"/>
    </row>
    <row r="95" spans="1:6" ht="26.25" thickBot="1">
      <c r="A95" s="80" t="s">
        <v>235</v>
      </c>
      <c r="B95" s="46" t="s">
        <v>236</v>
      </c>
      <c r="C95" s="9" t="s">
        <v>228</v>
      </c>
      <c r="D95" s="42"/>
      <c r="E95" s="74"/>
      <c r="F95" s="75"/>
    </row>
    <row r="96" spans="1:6" ht="51.75" thickBot="1">
      <c r="A96" s="81" t="s">
        <v>237</v>
      </c>
      <c r="B96" s="47" t="s">
        <v>238</v>
      </c>
      <c r="C96" s="40" t="s">
        <v>239</v>
      </c>
      <c r="D96" s="43">
        <v>1</v>
      </c>
      <c r="E96" s="76" t="s">
        <v>450</v>
      </c>
      <c r="F96" s="77" t="s">
        <v>456</v>
      </c>
    </row>
    <row r="97" spans="1:6" ht="39" thickBot="1">
      <c r="A97" s="80" t="s">
        <v>240</v>
      </c>
      <c r="B97" s="46" t="s">
        <v>241</v>
      </c>
      <c r="C97" s="9" t="s">
        <v>242</v>
      </c>
      <c r="D97" s="42">
        <v>1</v>
      </c>
      <c r="E97" s="74" t="s">
        <v>451</v>
      </c>
      <c r="F97" s="75" t="s">
        <v>452</v>
      </c>
    </row>
    <row r="98" spans="1:6" ht="13.5" thickBot="1">
      <c r="A98" s="81" t="s">
        <v>243</v>
      </c>
      <c r="B98" s="47" t="s">
        <v>244</v>
      </c>
      <c r="C98" s="40" t="s">
        <v>245</v>
      </c>
      <c r="D98" s="43"/>
      <c r="E98" s="76"/>
      <c r="F98" s="77"/>
    </row>
    <row r="99" spans="1:6" ht="26.25" thickBot="1">
      <c r="A99" s="80" t="s">
        <v>246</v>
      </c>
      <c r="B99" s="46" t="s">
        <v>247</v>
      </c>
      <c r="C99" s="9" t="s">
        <v>248</v>
      </c>
      <c r="D99" s="42"/>
      <c r="E99" s="74"/>
      <c r="F99" s="75"/>
    </row>
    <row r="100" spans="1:6" ht="13.5" thickBot="1">
      <c r="A100" s="81" t="s">
        <v>249</v>
      </c>
      <c r="B100" s="47" t="s">
        <v>250</v>
      </c>
      <c r="C100" s="40" t="s">
        <v>251</v>
      </c>
      <c r="D100" s="43"/>
      <c r="E100" s="76"/>
      <c r="F100" s="77"/>
    </row>
    <row r="101" spans="1:6" ht="13.5" thickBot="1">
      <c r="A101" s="80" t="s">
        <v>252</v>
      </c>
      <c r="B101" s="46" t="s">
        <v>253</v>
      </c>
      <c r="C101" s="9" t="s">
        <v>254</v>
      </c>
      <c r="D101" s="42"/>
      <c r="E101" s="74"/>
      <c r="F101" s="75"/>
    </row>
    <row r="102" spans="1:6" ht="13.5" thickBot="1">
      <c r="A102" s="81" t="s">
        <v>255</v>
      </c>
      <c r="B102" s="47" t="s">
        <v>256</v>
      </c>
      <c r="C102" s="40" t="s">
        <v>257</v>
      </c>
      <c r="D102" s="43"/>
      <c r="E102" s="76"/>
      <c r="F102" s="77"/>
    </row>
    <row r="103" spans="1:6" ht="26.25" thickBot="1">
      <c r="A103" s="80" t="s">
        <v>258</v>
      </c>
      <c r="B103" s="46" t="s">
        <v>259</v>
      </c>
      <c r="C103" s="9" t="s">
        <v>260</v>
      </c>
      <c r="D103" s="42"/>
      <c r="E103" s="74"/>
      <c r="F103" s="75"/>
    </row>
    <row r="104" spans="1:6" ht="26.25" thickBot="1">
      <c r="A104" s="81" t="s">
        <v>261</v>
      </c>
      <c r="B104" s="47" t="s">
        <v>262</v>
      </c>
      <c r="C104" s="40" t="s">
        <v>263</v>
      </c>
      <c r="D104" s="43">
        <v>1</v>
      </c>
      <c r="E104" s="76" t="s">
        <v>453</v>
      </c>
      <c r="F104" s="77" t="s">
        <v>455</v>
      </c>
    </row>
    <row r="105" spans="1:6" ht="13.5" thickBot="1">
      <c r="A105" s="80" t="s">
        <v>264</v>
      </c>
      <c r="B105" s="46" t="s">
        <v>265</v>
      </c>
      <c r="C105" s="9" t="s">
        <v>266</v>
      </c>
      <c r="D105" s="42"/>
      <c r="E105" s="74"/>
      <c r="F105" s="75"/>
    </row>
    <row r="106" spans="1:6" ht="26.25" thickBot="1">
      <c r="A106" s="80" t="s">
        <v>267</v>
      </c>
      <c r="B106" s="46" t="s">
        <v>413</v>
      </c>
      <c r="C106" s="9" t="s">
        <v>414</v>
      </c>
      <c r="D106" s="42"/>
      <c r="E106" s="74"/>
      <c r="F106" s="75"/>
    </row>
    <row r="107" spans="1:6" ht="13.5" thickBot="1">
      <c r="A107" s="81" t="s">
        <v>268</v>
      </c>
      <c r="B107" s="47" t="s">
        <v>269</v>
      </c>
      <c r="C107" s="40" t="s">
        <v>270</v>
      </c>
      <c r="D107" s="43"/>
      <c r="E107" s="76"/>
      <c r="F107" s="77"/>
    </row>
    <row r="108" spans="1:6" ht="51.75" thickBot="1">
      <c r="A108" s="80" t="s">
        <v>271</v>
      </c>
      <c r="B108" s="46" t="s">
        <v>415</v>
      </c>
      <c r="C108" s="9" t="s">
        <v>416</v>
      </c>
      <c r="D108" s="42"/>
      <c r="E108" s="74"/>
      <c r="F108" s="75"/>
    </row>
    <row r="109" spans="1:6" ht="13.5" thickBot="1">
      <c r="A109" s="81" t="s">
        <v>272</v>
      </c>
      <c r="B109" s="47" t="s">
        <v>273</v>
      </c>
      <c r="C109" s="40" t="s">
        <v>274</v>
      </c>
      <c r="D109" s="43">
        <v>1</v>
      </c>
      <c r="E109" s="76" t="s">
        <v>453</v>
      </c>
      <c r="F109" s="77" t="s">
        <v>457</v>
      </c>
    </row>
    <row r="110" spans="1:6" ht="13.5" thickBot="1">
      <c r="A110" s="80" t="s">
        <v>275</v>
      </c>
      <c r="B110" s="46" t="s">
        <v>276</v>
      </c>
      <c r="C110" s="9" t="s">
        <v>277</v>
      </c>
      <c r="D110" s="42"/>
      <c r="E110" s="74"/>
      <c r="F110" s="75"/>
    </row>
    <row r="111" spans="1:6" ht="13.5" thickBot="1">
      <c r="A111" s="81" t="s">
        <v>278</v>
      </c>
      <c r="B111" s="47" t="s">
        <v>279</v>
      </c>
      <c r="C111" s="40" t="s">
        <v>280</v>
      </c>
      <c r="D111" s="43"/>
      <c r="E111" s="76"/>
      <c r="F111" s="77"/>
    </row>
    <row r="112" spans="1:6" ht="13.5" thickBot="1">
      <c r="A112" s="80" t="s">
        <v>281</v>
      </c>
      <c r="B112" s="46" t="s">
        <v>282</v>
      </c>
      <c r="C112" s="9" t="s">
        <v>283</v>
      </c>
      <c r="D112" s="42"/>
      <c r="E112" s="74"/>
      <c r="F112" s="75"/>
    </row>
    <row r="113" spans="1:6" ht="13.5" thickBot="1">
      <c r="A113" s="81" t="s">
        <v>284</v>
      </c>
      <c r="B113" s="47" t="s">
        <v>285</v>
      </c>
      <c r="C113" s="40" t="s">
        <v>286</v>
      </c>
      <c r="D113" s="43"/>
      <c r="E113" s="76"/>
      <c r="F113" s="77"/>
    </row>
    <row r="114" spans="1:6" ht="13.5" thickBot="1">
      <c r="A114" s="80" t="s">
        <v>287</v>
      </c>
      <c r="B114" s="46" t="s">
        <v>288</v>
      </c>
      <c r="C114" s="9" t="s">
        <v>289</v>
      </c>
      <c r="D114" s="42"/>
      <c r="E114" s="74"/>
      <c r="F114" s="75"/>
    </row>
    <row r="115" spans="1:6" ht="13.5" thickBot="1">
      <c r="A115" s="81" t="s">
        <v>290</v>
      </c>
      <c r="B115" s="47" t="s">
        <v>291</v>
      </c>
      <c r="C115" s="40" t="s">
        <v>292</v>
      </c>
      <c r="D115" s="43"/>
      <c r="E115" s="76"/>
      <c r="F115" s="77"/>
    </row>
    <row r="116" spans="1:6" ht="13.5" thickBot="1">
      <c r="A116" s="80" t="s">
        <v>293</v>
      </c>
      <c r="B116" s="46" t="s">
        <v>294</v>
      </c>
      <c r="C116" s="9" t="s">
        <v>295</v>
      </c>
      <c r="D116" s="42"/>
      <c r="E116" s="74"/>
      <c r="F116" s="75"/>
    </row>
    <row r="117" spans="1:6" ht="13.5" thickBot="1">
      <c r="A117" s="81" t="s">
        <v>296</v>
      </c>
      <c r="B117" s="47" t="s">
        <v>297</v>
      </c>
      <c r="C117" s="40" t="s">
        <v>298</v>
      </c>
      <c r="D117" s="43"/>
      <c r="E117" s="76"/>
      <c r="F117" s="77"/>
    </row>
    <row r="118" spans="1:6" ht="13.5" thickBot="1">
      <c r="A118" s="80" t="s">
        <v>299</v>
      </c>
      <c r="B118" s="46" t="s">
        <v>300</v>
      </c>
      <c r="C118" s="9" t="s">
        <v>301</v>
      </c>
      <c r="D118" s="42"/>
      <c r="E118" s="74"/>
      <c r="F118" s="75"/>
    </row>
    <row r="119" spans="1:6" ht="13.5" thickBot="1">
      <c r="A119" s="81" t="s">
        <v>302</v>
      </c>
      <c r="B119" s="47" t="s">
        <v>303</v>
      </c>
      <c r="C119" s="40" t="s">
        <v>304</v>
      </c>
      <c r="D119" s="43"/>
      <c r="E119" s="76"/>
      <c r="F119" s="77"/>
    </row>
    <row r="120" spans="1:6" ht="13.5" thickBot="1">
      <c r="A120" s="80" t="s">
        <v>305</v>
      </c>
      <c r="B120" s="46" t="s">
        <v>306</v>
      </c>
      <c r="C120" s="9" t="s">
        <v>307</v>
      </c>
      <c r="D120" s="42"/>
      <c r="E120" s="74"/>
      <c r="F120" s="75"/>
    </row>
    <row r="121" spans="1:6" ht="13.5" thickBot="1">
      <c r="A121" s="81" t="s">
        <v>308</v>
      </c>
      <c r="B121" s="47" t="s">
        <v>309</v>
      </c>
      <c r="C121" s="40" t="s">
        <v>310</v>
      </c>
      <c r="D121" s="43"/>
      <c r="E121" s="76"/>
      <c r="F121" s="77"/>
    </row>
    <row r="122" spans="1:6" ht="13.5" thickBot="1">
      <c r="A122" s="80" t="s">
        <v>311</v>
      </c>
      <c r="B122" s="46" t="s">
        <v>312</v>
      </c>
      <c r="C122" s="9" t="s">
        <v>313</v>
      </c>
      <c r="D122" s="42">
        <v>1</v>
      </c>
      <c r="E122" s="74"/>
      <c r="F122" s="75" t="s">
        <v>454</v>
      </c>
    </row>
    <row r="123" spans="1:6" ht="13.5" thickBot="1">
      <c r="A123" s="81" t="s">
        <v>314</v>
      </c>
      <c r="B123" s="47" t="s">
        <v>315</v>
      </c>
      <c r="C123" s="40" t="s">
        <v>313</v>
      </c>
      <c r="D123" s="43"/>
      <c r="E123" s="76"/>
      <c r="F123" s="77"/>
    </row>
    <row r="124" spans="1:6" ht="13.5" thickBot="1">
      <c r="A124" s="80" t="s">
        <v>316</v>
      </c>
      <c r="B124" s="46" t="s">
        <v>317</v>
      </c>
      <c r="C124" s="9" t="s">
        <v>313</v>
      </c>
      <c r="D124" s="42"/>
      <c r="E124" s="74"/>
      <c r="F124" s="75"/>
    </row>
    <row r="125" spans="1:6" ht="13.5" thickBot="1">
      <c r="A125" s="81" t="s">
        <v>318</v>
      </c>
      <c r="B125" s="47" t="s">
        <v>319</v>
      </c>
      <c r="C125" s="40" t="s">
        <v>313</v>
      </c>
      <c r="D125" s="43"/>
      <c r="E125" s="76"/>
      <c r="F125" s="77"/>
    </row>
    <row r="126" spans="1:6" ht="13.5" thickBot="1">
      <c r="A126" s="80" t="s">
        <v>320</v>
      </c>
      <c r="B126" s="46" t="s">
        <v>321</v>
      </c>
      <c r="C126" s="9" t="s">
        <v>313</v>
      </c>
      <c r="D126" s="42"/>
      <c r="E126" s="74"/>
      <c r="F126" s="75"/>
    </row>
    <row r="127" spans="1:6" ht="13.5" thickBot="1">
      <c r="A127" s="81" t="s">
        <v>322</v>
      </c>
      <c r="B127" s="47" t="s">
        <v>323</v>
      </c>
      <c r="C127" s="40" t="s">
        <v>313</v>
      </c>
      <c r="D127" s="43"/>
      <c r="E127" s="76"/>
      <c r="F127" s="77"/>
    </row>
    <row r="128" spans="1:6" ht="13.5" thickBot="1">
      <c r="A128" s="80" t="s">
        <v>324</v>
      </c>
      <c r="B128" s="46" t="s">
        <v>325</v>
      </c>
      <c r="C128" s="9" t="s">
        <v>313</v>
      </c>
      <c r="D128" s="42"/>
      <c r="E128" s="74" t="s">
        <v>464</v>
      </c>
      <c r="F128" s="75"/>
    </row>
    <row r="129" spans="1:6" ht="13.5" thickBot="1">
      <c r="A129" s="81" t="s">
        <v>326</v>
      </c>
      <c r="B129" s="47" t="s">
        <v>327</v>
      </c>
      <c r="C129" s="40" t="s">
        <v>313</v>
      </c>
      <c r="D129" s="43"/>
      <c r="E129" s="76"/>
      <c r="F129" s="77"/>
    </row>
    <row r="130" spans="1:6" ht="13.5" thickBot="1">
      <c r="A130" s="80" t="s">
        <v>328</v>
      </c>
      <c r="B130" s="46" t="s">
        <v>329</v>
      </c>
      <c r="C130" s="9" t="s">
        <v>313</v>
      </c>
      <c r="D130" s="42"/>
      <c r="E130" s="74"/>
      <c r="F130" s="75"/>
    </row>
    <row r="131" spans="1:6" ht="13.5" thickBot="1">
      <c r="A131" s="81" t="s">
        <v>330</v>
      </c>
      <c r="B131" s="47" t="s">
        <v>331</v>
      </c>
      <c r="C131" s="40" t="s">
        <v>313</v>
      </c>
      <c r="D131" s="43"/>
      <c r="E131" s="76" t="s">
        <v>368</v>
      </c>
      <c r="F131" s="77"/>
    </row>
    <row r="132" spans="1:6" ht="13.5" thickBot="1">
      <c r="A132" s="80" t="s">
        <v>332</v>
      </c>
      <c r="B132" s="46" t="s">
        <v>333</v>
      </c>
      <c r="C132" s="9" t="s">
        <v>313</v>
      </c>
      <c r="D132" s="42"/>
      <c r="E132" s="74"/>
      <c r="F132" s="75"/>
    </row>
    <row r="133" spans="1:6" ht="13.5" thickBot="1">
      <c r="A133" s="81" t="s">
        <v>334</v>
      </c>
      <c r="B133" s="47" t="s">
        <v>335</v>
      </c>
      <c r="C133" s="40" t="s">
        <v>313</v>
      </c>
      <c r="D133" s="43"/>
      <c r="E133" s="76"/>
      <c r="F133" s="77"/>
    </row>
    <row r="134" spans="1:6" ht="13.5" thickBot="1">
      <c r="A134" s="80" t="s">
        <v>336</v>
      </c>
      <c r="B134" s="46" t="s">
        <v>337</v>
      </c>
      <c r="C134" s="9" t="s">
        <v>313</v>
      </c>
      <c r="D134" s="42"/>
      <c r="E134" s="74"/>
      <c r="F134" s="75"/>
    </row>
    <row r="135" spans="1:6" ht="13.5" thickBot="1">
      <c r="A135" s="81" t="s">
        <v>338</v>
      </c>
      <c r="B135" s="47" t="s">
        <v>339</v>
      </c>
      <c r="C135" s="40" t="s">
        <v>313</v>
      </c>
      <c r="D135" s="43"/>
      <c r="E135" s="76"/>
      <c r="F135" s="77"/>
    </row>
    <row r="136" spans="1:6" ht="13.5" thickBot="1">
      <c r="A136" s="80" t="s">
        <v>340</v>
      </c>
      <c r="B136" s="46" t="s">
        <v>341</v>
      </c>
      <c r="C136" s="9" t="s">
        <v>313</v>
      </c>
      <c r="D136" s="42"/>
      <c r="E136" s="74"/>
      <c r="F136" s="75"/>
    </row>
    <row r="137" spans="1:6" ht="13.5" thickBot="1">
      <c r="A137" s="81" t="s">
        <v>342</v>
      </c>
      <c r="B137" s="47" t="s">
        <v>343</v>
      </c>
      <c r="C137" s="40" t="s">
        <v>344</v>
      </c>
      <c r="D137" s="43"/>
      <c r="E137" s="76"/>
      <c r="F137" s="77"/>
    </row>
    <row r="145" spans="3:6">
      <c r="C145" s="4"/>
      <c r="D145" s="51"/>
      <c r="E145" s="54"/>
      <c r="F145" s="4"/>
    </row>
    <row r="151" spans="3:6">
      <c r="E151" s="55"/>
      <c r="F151" s="7"/>
    </row>
  </sheetData>
  <autoFilter ref="A2:F152" xr:uid="{A143ECE8-8696-4DBD-B2BE-FB3478FA892C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0311-02C6-498F-A10A-3B8B5C358976}">
  <dimension ref="A1:O20"/>
  <sheetViews>
    <sheetView workbookViewId="0">
      <selection activeCell="M30" sqref="M30"/>
    </sheetView>
  </sheetViews>
  <sheetFormatPr baseColWidth="10" defaultColWidth="11.42578125" defaultRowHeight="15"/>
  <cols>
    <col min="1" max="1" width="1.85546875" customWidth="1"/>
    <col min="2" max="3" width="9.140625" style="6" customWidth="1"/>
    <col min="4" max="4" width="9.140625" style="13" customWidth="1"/>
    <col min="5" max="5" width="4.140625" customWidth="1"/>
    <col min="6" max="13" width="11.28515625" customWidth="1"/>
  </cols>
  <sheetData>
    <row r="1" spans="1:15" ht="10.9" customHeight="1" thickBot="1">
      <c r="A1" s="24"/>
      <c r="B1" s="16"/>
      <c r="C1" s="16"/>
      <c r="D1" s="28"/>
      <c r="E1" s="20"/>
      <c r="F1" s="37"/>
      <c r="G1" s="24"/>
      <c r="H1" s="24"/>
      <c r="I1" s="24"/>
      <c r="J1" s="24"/>
      <c r="K1" s="24"/>
      <c r="L1" s="24"/>
      <c r="M1" s="24"/>
      <c r="N1" s="24"/>
      <c r="O1" s="24"/>
    </row>
    <row r="2" spans="1:15" ht="138.75" customHeight="1">
      <c r="A2" s="24"/>
      <c r="B2" s="64" t="s">
        <v>466</v>
      </c>
      <c r="C2" s="65"/>
      <c r="D2" s="66"/>
      <c r="E2" s="71" t="s">
        <v>0</v>
      </c>
      <c r="F2" s="67" t="s">
        <v>345</v>
      </c>
      <c r="G2" s="68" t="s">
        <v>346</v>
      </c>
      <c r="H2" s="69" t="s">
        <v>347</v>
      </c>
      <c r="I2" s="68" t="s">
        <v>348</v>
      </c>
      <c r="J2" s="69" t="s">
        <v>349</v>
      </c>
      <c r="K2" s="68" t="s">
        <v>350</v>
      </c>
      <c r="L2" s="69" t="s">
        <v>351</v>
      </c>
      <c r="M2" s="68" t="s">
        <v>352</v>
      </c>
      <c r="N2" s="71" t="s">
        <v>0</v>
      </c>
      <c r="O2" s="70"/>
    </row>
    <row r="3" spans="1:15" ht="24" thickBot="1">
      <c r="A3" s="24"/>
      <c r="B3" s="61" t="s">
        <v>410</v>
      </c>
      <c r="C3" s="62"/>
      <c r="D3" s="63"/>
      <c r="E3" s="24"/>
      <c r="F3" s="29" t="s">
        <v>354</v>
      </c>
      <c r="G3" s="33" t="s">
        <v>355</v>
      </c>
      <c r="H3" s="26" t="s">
        <v>356</v>
      </c>
      <c r="I3" s="33" t="s">
        <v>357</v>
      </c>
      <c r="J3" s="26" t="s">
        <v>358</v>
      </c>
      <c r="K3" s="33" t="s">
        <v>359</v>
      </c>
      <c r="L3" s="26" t="s">
        <v>360</v>
      </c>
      <c r="M3" s="33" t="s">
        <v>361</v>
      </c>
      <c r="N3" s="25" t="s">
        <v>353</v>
      </c>
      <c r="O3" s="24"/>
    </row>
    <row r="4" spans="1:15" ht="16.5">
      <c r="A4" s="24"/>
      <c r="B4" s="27" t="s">
        <v>407</v>
      </c>
      <c r="C4" s="18" t="s">
        <v>408</v>
      </c>
      <c r="D4" s="19" t="s">
        <v>409</v>
      </c>
      <c r="E4" s="20"/>
      <c r="F4" s="30">
        <v>7</v>
      </c>
      <c r="G4" s="34">
        <v>6</v>
      </c>
      <c r="H4" s="21">
        <v>5</v>
      </c>
      <c r="I4" s="34">
        <v>4</v>
      </c>
      <c r="J4" s="21">
        <v>3</v>
      </c>
      <c r="K4" s="34">
        <v>2</v>
      </c>
      <c r="L4" s="21">
        <v>1</v>
      </c>
      <c r="M4" s="34">
        <v>0</v>
      </c>
      <c r="N4" s="25" t="s">
        <v>362</v>
      </c>
      <c r="O4" s="24"/>
    </row>
    <row r="5" spans="1:15">
      <c r="A5" s="24"/>
      <c r="B5" s="14">
        <v>40</v>
      </c>
      <c r="C5" s="22">
        <f>HEX2DEC(B5)</f>
        <v>64</v>
      </c>
      <c r="D5" s="23" t="str">
        <f t="shared" ref="D5:D19" si="0">HEX2BIN(B5,8)</f>
        <v>01000000</v>
      </c>
      <c r="E5" s="24"/>
      <c r="F5" s="31">
        <f t="shared" ref="F5:F19" si="1">INT(C5/128)</f>
        <v>0</v>
      </c>
      <c r="G5" s="35">
        <f t="shared" ref="G5:G19" si="2">INT((C5-F5*128)/64)</f>
        <v>1</v>
      </c>
      <c r="H5" s="16">
        <f t="shared" ref="H5:H19" si="3">INT((C5-F5*128-G5*64)/32)</f>
        <v>0</v>
      </c>
      <c r="I5" s="35">
        <f t="shared" ref="I5:I19" si="4">INT((C5-F5*128-G5*64-H5*32)/16)</f>
        <v>0</v>
      </c>
      <c r="J5" s="16">
        <f t="shared" ref="J5:J19" si="5">INT((C5-F5*128-G5*64-H5*32-I5*16)/8)</f>
        <v>0</v>
      </c>
      <c r="K5" s="35">
        <f t="shared" ref="K5:K19" si="6">INT((C5-F5*128-G5*64-H5*32-I5*16-J5*8)/4)</f>
        <v>0</v>
      </c>
      <c r="L5" s="16">
        <f t="shared" ref="L5:L19" si="7">INT((C5-F5*128-G5*64-H5*32-I5*16-J5*8-K5*4)/2)</f>
        <v>0</v>
      </c>
      <c r="M5" s="35">
        <f t="shared" ref="M5:M19" si="8">INT((C5-F5*128-G5*64-H5*32-I5*16-J5*8-K5*4-L5*2)/1)</f>
        <v>0</v>
      </c>
      <c r="N5" s="37"/>
      <c r="O5" s="24"/>
    </row>
    <row r="6" spans="1:15">
      <c r="A6" s="24"/>
      <c r="B6" s="14">
        <v>42</v>
      </c>
      <c r="C6" s="22">
        <f t="shared" ref="C6:C19" si="9">HEX2DEC(B6)</f>
        <v>66</v>
      </c>
      <c r="D6" s="23" t="str">
        <f t="shared" si="0"/>
        <v>01000010</v>
      </c>
      <c r="E6" s="24"/>
      <c r="F6" s="31">
        <f t="shared" si="1"/>
        <v>0</v>
      </c>
      <c r="G6" s="35">
        <f t="shared" si="2"/>
        <v>1</v>
      </c>
      <c r="H6" s="16">
        <f t="shared" si="3"/>
        <v>0</v>
      </c>
      <c r="I6" s="35">
        <f t="shared" si="4"/>
        <v>0</v>
      </c>
      <c r="J6" s="16">
        <f t="shared" si="5"/>
        <v>0</v>
      </c>
      <c r="K6" s="35">
        <f t="shared" si="6"/>
        <v>0</v>
      </c>
      <c r="L6" s="16">
        <f t="shared" si="7"/>
        <v>1</v>
      </c>
      <c r="M6" s="35">
        <f t="shared" si="8"/>
        <v>0</v>
      </c>
      <c r="N6" s="37"/>
      <c r="O6" s="24"/>
    </row>
    <row r="7" spans="1:15">
      <c r="A7" s="24"/>
      <c r="B7" s="14">
        <v>80</v>
      </c>
      <c r="C7" s="22">
        <f t="shared" si="9"/>
        <v>128</v>
      </c>
      <c r="D7" s="23" t="str">
        <f t="shared" si="0"/>
        <v>10000000</v>
      </c>
      <c r="E7" s="24"/>
      <c r="F7" s="31">
        <f t="shared" si="1"/>
        <v>1</v>
      </c>
      <c r="G7" s="35">
        <f t="shared" si="2"/>
        <v>0</v>
      </c>
      <c r="H7" s="16">
        <f t="shared" si="3"/>
        <v>0</v>
      </c>
      <c r="I7" s="35">
        <f t="shared" si="4"/>
        <v>0</v>
      </c>
      <c r="J7" s="16">
        <f t="shared" si="5"/>
        <v>0</v>
      </c>
      <c r="K7" s="35">
        <f t="shared" si="6"/>
        <v>0</v>
      </c>
      <c r="L7" s="16">
        <f t="shared" si="7"/>
        <v>0</v>
      </c>
      <c r="M7" s="35">
        <f t="shared" si="8"/>
        <v>0</v>
      </c>
      <c r="N7" s="37"/>
      <c r="O7" s="24"/>
    </row>
    <row r="8" spans="1:15">
      <c r="A8" s="24"/>
      <c r="B8" s="14">
        <v>81</v>
      </c>
      <c r="C8" s="22">
        <f t="shared" si="9"/>
        <v>129</v>
      </c>
      <c r="D8" s="23" t="str">
        <f>HEX2BIN(B8,8)</f>
        <v>10000001</v>
      </c>
      <c r="E8" s="24"/>
      <c r="F8" s="31">
        <f t="shared" si="1"/>
        <v>1</v>
      </c>
      <c r="G8" s="35">
        <f t="shared" si="2"/>
        <v>0</v>
      </c>
      <c r="H8" s="16">
        <f t="shared" si="3"/>
        <v>0</v>
      </c>
      <c r="I8" s="35">
        <f t="shared" si="4"/>
        <v>0</v>
      </c>
      <c r="J8" s="16">
        <f t="shared" si="5"/>
        <v>0</v>
      </c>
      <c r="K8" s="35">
        <f t="shared" si="6"/>
        <v>0</v>
      </c>
      <c r="L8" s="16">
        <f t="shared" si="7"/>
        <v>0</v>
      </c>
      <c r="M8" s="35">
        <f t="shared" si="8"/>
        <v>1</v>
      </c>
      <c r="N8" s="37"/>
      <c r="O8" s="24"/>
    </row>
    <row r="9" spans="1:15">
      <c r="A9" s="24"/>
      <c r="B9" s="15">
        <v>64</v>
      </c>
      <c r="C9" s="18">
        <f t="shared" si="9"/>
        <v>100</v>
      </c>
      <c r="D9" s="19" t="str">
        <f t="shared" si="0"/>
        <v>01100100</v>
      </c>
      <c r="E9" s="20"/>
      <c r="F9" s="32">
        <f t="shared" si="1"/>
        <v>0</v>
      </c>
      <c r="G9" s="36">
        <f t="shared" si="2"/>
        <v>1</v>
      </c>
      <c r="H9" s="17">
        <f t="shared" si="3"/>
        <v>1</v>
      </c>
      <c r="I9" s="36">
        <f t="shared" si="4"/>
        <v>0</v>
      </c>
      <c r="J9" s="17">
        <f t="shared" si="5"/>
        <v>0</v>
      </c>
      <c r="K9" s="36">
        <f t="shared" si="6"/>
        <v>1</v>
      </c>
      <c r="L9" s="17">
        <f t="shared" si="7"/>
        <v>0</v>
      </c>
      <c r="M9" s="36">
        <f t="shared" si="8"/>
        <v>0</v>
      </c>
      <c r="N9" s="37"/>
      <c r="O9" s="24"/>
    </row>
    <row r="10" spans="1:15">
      <c r="A10" s="24"/>
      <c r="B10" s="14">
        <v>84</v>
      </c>
      <c r="C10" s="22">
        <f t="shared" si="9"/>
        <v>132</v>
      </c>
      <c r="D10" s="23" t="str">
        <f t="shared" si="0"/>
        <v>10000100</v>
      </c>
      <c r="E10" s="24"/>
      <c r="F10" s="31">
        <f t="shared" si="1"/>
        <v>1</v>
      </c>
      <c r="G10" s="35">
        <f t="shared" si="2"/>
        <v>0</v>
      </c>
      <c r="H10" s="16">
        <f t="shared" si="3"/>
        <v>0</v>
      </c>
      <c r="I10" s="35">
        <f t="shared" si="4"/>
        <v>0</v>
      </c>
      <c r="J10" s="16">
        <f t="shared" si="5"/>
        <v>0</v>
      </c>
      <c r="K10" s="35">
        <f t="shared" si="6"/>
        <v>1</v>
      </c>
      <c r="L10" s="16">
        <f t="shared" si="7"/>
        <v>0</v>
      </c>
      <c r="M10" s="35">
        <f t="shared" si="8"/>
        <v>0</v>
      </c>
      <c r="N10" s="37"/>
      <c r="O10" s="24"/>
    </row>
    <row r="11" spans="1:15">
      <c r="A11" s="24"/>
      <c r="B11" s="14" t="s">
        <v>184</v>
      </c>
      <c r="C11" s="22">
        <f t="shared" si="9"/>
        <v>160</v>
      </c>
      <c r="D11" s="23" t="str">
        <f t="shared" si="0"/>
        <v>10100000</v>
      </c>
      <c r="E11" s="24"/>
      <c r="F11" s="31">
        <f t="shared" si="1"/>
        <v>1</v>
      </c>
      <c r="G11" s="35">
        <f t="shared" si="2"/>
        <v>0</v>
      </c>
      <c r="H11" s="16">
        <f t="shared" si="3"/>
        <v>1</v>
      </c>
      <c r="I11" s="35">
        <f t="shared" si="4"/>
        <v>0</v>
      </c>
      <c r="J11" s="16">
        <f t="shared" si="5"/>
        <v>0</v>
      </c>
      <c r="K11" s="35">
        <f t="shared" si="6"/>
        <v>0</v>
      </c>
      <c r="L11" s="16">
        <f t="shared" si="7"/>
        <v>0</v>
      </c>
      <c r="M11" s="35">
        <f t="shared" si="8"/>
        <v>0</v>
      </c>
      <c r="N11" s="37"/>
      <c r="O11" s="24"/>
    </row>
    <row r="12" spans="1:15">
      <c r="A12" s="24"/>
      <c r="B12" s="14">
        <v>41</v>
      </c>
      <c r="C12" s="22">
        <f t="shared" si="9"/>
        <v>65</v>
      </c>
      <c r="D12" s="23" t="str">
        <f t="shared" si="0"/>
        <v>01000001</v>
      </c>
      <c r="E12" s="24"/>
      <c r="F12" s="31">
        <f t="shared" si="1"/>
        <v>0</v>
      </c>
      <c r="G12" s="35">
        <f t="shared" si="2"/>
        <v>1</v>
      </c>
      <c r="H12" s="16">
        <f t="shared" si="3"/>
        <v>0</v>
      </c>
      <c r="I12" s="35">
        <f t="shared" si="4"/>
        <v>0</v>
      </c>
      <c r="J12" s="16">
        <f t="shared" si="5"/>
        <v>0</v>
      </c>
      <c r="K12" s="35">
        <f t="shared" si="6"/>
        <v>0</v>
      </c>
      <c r="L12" s="16">
        <f t="shared" si="7"/>
        <v>0</v>
      </c>
      <c r="M12" s="35">
        <f t="shared" si="8"/>
        <v>1</v>
      </c>
      <c r="N12" s="37"/>
      <c r="O12" s="24"/>
    </row>
    <row r="13" spans="1:15">
      <c r="A13" s="24"/>
      <c r="B13" s="14">
        <v>43</v>
      </c>
      <c r="C13" s="22">
        <f t="shared" si="9"/>
        <v>67</v>
      </c>
      <c r="D13" s="23" t="str">
        <f t="shared" si="0"/>
        <v>01000011</v>
      </c>
      <c r="E13" s="24"/>
      <c r="F13" s="31">
        <f t="shared" si="1"/>
        <v>0</v>
      </c>
      <c r="G13" s="35">
        <f t="shared" si="2"/>
        <v>1</v>
      </c>
      <c r="H13" s="16">
        <f t="shared" si="3"/>
        <v>0</v>
      </c>
      <c r="I13" s="35">
        <f t="shared" si="4"/>
        <v>0</v>
      </c>
      <c r="J13" s="16">
        <f t="shared" si="5"/>
        <v>0</v>
      </c>
      <c r="K13" s="35">
        <f t="shared" si="6"/>
        <v>0</v>
      </c>
      <c r="L13" s="16">
        <f t="shared" si="7"/>
        <v>1</v>
      </c>
      <c r="M13" s="35">
        <f t="shared" si="8"/>
        <v>1</v>
      </c>
      <c r="N13" s="37"/>
      <c r="O13" s="24"/>
    </row>
    <row r="14" spans="1:15">
      <c r="A14" s="24"/>
      <c r="B14" s="15">
        <v>60</v>
      </c>
      <c r="C14" s="18">
        <f t="shared" si="9"/>
        <v>96</v>
      </c>
      <c r="D14" s="19" t="str">
        <f t="shared" si="0"/>
        <v>01100000</v>
      </c>
      <c r="E14" s="20"/>
      <c r="F14" s="32">
        <f t="shared" si="1"/>
        <v>0</v>
      </c>
      <c r="G14" s="36">
        <f t="shared" si="2"/>
        <v>1</v>
      </c>
      <c r="H14" s="17">
        <f t="shared" si="3"/>
        <v>1</v>
      </c>
      <c r="I14" s="36">
        <f t="shared" si="4"/>
        <v>0</v>
      </c>
      <c r="J14" s="17">
        <f t="shared" si="5"/>
        <v>0</v>
      </c>
      <c r="K14" s="36">
        <f t="shared" si="6"/>
        <v>0</v>
      </c>
      <c r="L14" s="17">
        <f t="shared" si="7"/>
        <v>0</v>
      </c>
      <c r="M14" s="36">
        <f t="shared" si="8"/>
        <v>0</v>
      </c>
      <c r="N14" s="37"/>
      <c r="O14" s="24"/>
    </row>
    <row r="15" spans="1:15">
      <c r="A15" s="24"/>
      <c r="B15" s="14"/>
      <c r="C15" s="22">
        <f t="shared" si="9"/>
        <v>0</v>
      </c>
      <c r="D15" s="23" t="str">
        <f t="shared" si="0"/>
        <v>00000000</v>
      </c>
      <c r="E15" s="24"/>
      <c r="F15" s="31">
        <f t="shared" si="1"/>
        <v>0</v>
      </c>
      <c r="G15" s="35">
        <f t="shared" si="2"/>
        <v>0</v>
      </c>
      <c r="H15" s="16">
        <f t="shared" si="3"/>
        <v>0</v>
      </c>
      <c r="I15" s="35">
        <f t="shared" si="4"/>
        <v>0</v>
      </c>
      <c r="J15" s="16">
        <f t="shared" si="5"/>
        <v>0</v>
      </c>
      <c r="K15" s="35">
        <f t="shared" si="6"/>
        <v>0</v>
      </c>
      <c r="L15" s="16">
        <f t="shared" si="7"/>
        <v>0</v>
      </c>
      <c r="M15" s="35">
        <f t="shared" si="8"/>
        <v>0</v>
      </c>
      <c r="N15" s="37"/>
      <c r="O15" s="24"/>
    </row>
    <row r="16" spans="1:15">
      <c r="A16" s="24"/>
      <c r="B16" s="14"/>
      <c r="C16" s="22">
        <f t="shared" si="9"/>
        <v>0</v>
      </c>
      <c r="D16" s="23" t="str">
        <f t="shared" si="0"/>
        <v>00000000</v>
      </c>
      <c r="E16" s="24"/>
      <c r="F16" s="31">
        <f t="shared" si="1"/>
        <v>0</v>
      </c>
      <c r="G16" s="35">
        <f t="shared" si="2"/>
        <v>0</v>
      </c>
      <c r="H16" s="16">
        <f t="shared" si="3"/>
        <v>0</v>
      </c>
      <c r="I16" s="35">
        <f t="shared" si="4"/>
        <v>0</v>
      </c>
      <c r="J16" s="16">
        <f t="shared" si="5"/>
        <v>0</v>
      </c>
      <c r="K16" s="35">
        <f t="shared" si="6"/>
        <v>0</v>
      </c>
      <c r="L16" s="16">
        <f t="shared" si="7"/>
        <v>0</v>
      </c>
      <c r="M16" s="35">
        <f t="shared" si="8"/>
        <v>0</v>
      </c>
      <c r="N16" s="37"/>
      <c r="O16" s="24"/>
    </row>
    <row r="17" spans="1:15">
      <c r="A17" s="24"/>
      <c r="B17" s="14"/>
      <c r="C17" s="22">
        <f t="shared" si="9"/>
        <v>0</v>
      </c>
      <c r="D17" s="23" t="str">
        <f t="shared" si="0"/>
        <v>00000000</v>
      </c>
      <c r="E17" s="24"/>
      <c r="F17" s="31">
        <f t="shared" si="1"/>
        <v>0</v>
      </c>
      <c r="G17" s="35">
        <f t="shared" si="2"/>
        <v>0</v>
      </c>
      <c r="H17" s="16">
        <f t="shared" si="3"/>
        <v>0</v>
      </c>
      <c r="I17" s="35">
        <f t="shared" si="4"/>
        <v>0</v>
      </c>
      <c r="J17" s="16">
        <f t="shared" si="5"/>
        <v>0</v>
      </c>
      <c r="K17" s="35">
        <f t="shared" si="6"/>
        <v>0</v>
      </c>
      <c r="L17" s="16">
        <f t="shared" si="7"/>
        <v>0</v>
      </c>
      <c r="M17" s="35">
        <f t="shared" si="8"/>
        <v>0</v>
      </c>
      <c r="N17" s="37"/>
      <c r="O17" s="24"/>
    </row>
    <row r="18" spans="1:15">
      <c r="A18" s="24"/>
      <c r="B18" s="14"/>
      <c r="C18" s="22">
        <f t="shared" si="9"/>
        <v>0</v>
      </c>
      <c r="D18" s="23" t="str">
        <f t="shared" si="0"/>
        <v>00000000</v>
      </c>
      <c r="E18" s="24"/>
      <c r="F18" s="31">
        <f t="shared" si="1"/>
        <v>0</v>
      </c>
      <c r="G18" s="35">
        <f t="shared" si="2"/>
        <v>0</v>
      </c>
      <c r="H18" s="16">
        <f t="shared" si="3"/>
        <v>0</v>
      </c>
      <c r="I18" s="35">
        <f t="shared" si="4"/>
        <v>0</v>
      </c>
      <c r="J18" s="16">
        <f t="shared" si="5"/>
        <v>0</v>
      </c>
      <c r="K18" s="35">
        <f t="shared" si="6"/>
        <v>0</v>
      </c>
      <c r="L18" s="16">
        <f t="shared" si="7"/>
        <v>0</v>
      </c>
      <c r="M18" s="35">
        <f t="shared" si="8"/>
        <v>0</v>
      </c>
      <c r="N18" s="37"/>
      <c r="O18" s="24"/>
    </row>
    <row r="19" spans="1:15">
      <c r="A19" s="24"/>
      <c r="B19" s="15"/>
      <c r="C19" s="18">
        <f t="shared" si="9"/>
        <v>0</v>
      </c>
      <c r="D19" s="19" t="str">
        <f t="shared" si="0"/>
        <v>00000000</v>
      </c>
      <c r="E19" s="20"/>
      <c r="F19" s="32">
        <f t="shared" si="1"/>
        <v>0</v>
      </c>
      <c r="G19" s="36">
        <f t="shared" si="2"/>
        <v>0</v>
      </c>
      <c r="H19" s="17">
        <f t="shared" si="3"/>
        <v>0</v>
      </c>
      <c r="I19" s="36">
        <f t="shared" si="4"/>
        <v>0</v>
      </c>
      <c r="J19" s="17">
        <f t="shared" si="5"/>
        <v>0</v>
      </c>
      <c r="K19" s="36">
        <f t="shared" si="6"/>
        <v>0</v>
      </c>
      <c r="L19" s="17">
        <f t="shared" si="7"/>
        <v>0</v>
      </c>
      <c r="M19" s="36">
        <f t="shared" si="8"/>
        <v>0</v>
      </c>
      <c r="N19" s="37"/>
      <c r="O19" s="24"/>
    </row>
    <row r="20" spans="1:15">
      <c r="A20" s="24"/>
      <c r="B20" s="16"/>
      <c r="C20" s="16"/>
      <c r="D20" s="28"/>
      <c r="E20" s="24"/>
      <c r="F20" s="24"/>
      <c r="G20" s="24"/>
      <c r="H20" s="24"/>
      <c r="I20" s="24"/>
      <c r="J20" s="24"/>
      <c r="K20" s="24"/>
      <c r="L20" s="24"/>
      <c r="M20" s="24"/>
      <c r="N20" s="37"/>
      <c r="O20" s="24"/>
    </row>
  </sheetData>
  <mergeCells count="2">
    <mergeCell ref="B3:D3"/>
    <mergeCell ref="B2:D2"/>
  </mergeCells>
  <conditionalFormatting sqref="F5:M19">
    <cfRule type="cellIs" dxfId="0" priority="1" operator="equal">
      <formula>1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Error Source_komplete</vt:lpstr>
      <vt:lpstr>Err Code</vt:lpstr>
      <vt:lpstr>Flags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Hampel</dc:creator>
  <cp:keywords/>
  <dc:description/>
  <cp:lastModifiedBy>Johannes Hampel</cp:lastModifiedBy>
  <cp:revision/>
  <dcterms:created xsi:type="dcterms:W3CDTF">2022-04-19T08:41:54Z</dcterms:created>
  <dcterms:modified xsi:type="dcterms:W3CDTF">2024-08-29T12:31:10Z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53fab4-0588-4e50-bde4-55dc33e59baa_Enabled">
    <vt:lpwstr>true</vt:lpwstr>
  </property>
  <property fmtid="{D5CDD505-2E9C-101B-9397-08002B2CF9AE}" pid="3" name="MSIP_Label_9253fab4-0588-4e50-bde4-55dc33e59baa_SetDate">
    <vt:lpwstr>2024-07-19T16:48:27Z</vt:lpwstr>
  </property>
  <property fmtid="{D5CDD505-2E9C-101B-9397-08002B2CF9AE}" pid="4" name="MSIP_Label_9253fab4-0588-4e50-bde4-55dc33e59baa_Method">
    <vt:lpwstr>Standard</vt:lpwstr>
  </property>
  <property fmtid="{D5CDD505-2E9C-101B-9397-08002B2CF9AE}" pid="5" name="MSIP_Label_9253fab4-0588-4e50-bde4-55dc33e59baa_Name">
    <vt:lpwstr>Public</vt:lpwstr>
  </property>
  <property fmtid="{D5CDD505-2E9C-101B-9397-08002B2CF9AE}" pid="6" name="MSIP_Label_9253fab4-0588-4e50-bde4-55dc33e59baa_SiteId">
    <vt:lpwstr>f5395fc7-e696-40a8-8164-06831c5699c2</vt:lpwstr>
  </property>
  <property fmtid="{D5CDD505-2E9C-101B-9397-08002B2CF9AE}" pid="7" name="MSIP_Label_9253fab4-0588-4e50-bde4-55dc33e59baa_ActionId">
    <vt:lpwstr>0b6f0b8d-952b-49a3-b5ee-bd6236c795b3</vt:lpwstr>
  </property>
  <property fmtid="{D5CDD505-2E9C-101B-9397-08002B2CF9AE}" pid="8" name="MSIP_Label_9253fab4-0588-4e50-bde4-55dc33e59baa_ContentBits">
    <vt:lpwstr>0</vt:lpwstr>
  </property>
</Properties>
</file>